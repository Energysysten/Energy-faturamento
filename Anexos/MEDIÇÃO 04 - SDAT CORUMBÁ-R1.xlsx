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fab\Área de Trabalho\Meus Documentos\08 - SDAT CORUMBÁ\6 - MEDIÇÕES\04 - MEDIÇÃO 04\"/>
    </mc:Choice>
  </mc:AlternateContent>
  <xr:revisionPtr revIDLastSave="0" documentId="13_ncr:1_{2579ABFC-51E7-453D-B478-15EA26AC9B8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PU" sheetId="1" r:id="rId1"/>
    <sheet name="MEDIÇÕES" sheetId="2" r:id="rId2"/>
  </sheets>
  <externalReferences>
    <externalReference r:id="rId3"/>
  </externalReferences>
  <definedNames>
    <definedName name="_xlnm._FilterDatabase" localSheetId="1" hidden="1">MEDIÇÕES!$A$4:$AC$50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2" l="1"/>
  <c r="N59" i="2" l="1"/>
  <c r="T59" i="2"/>
  <c r="V59" i="2"/>
  <c r="X59" i="2"/>
  <c r="Y59" i="2"/>
  <c r="F59" i="2"/>
  <c r="H59" i="2"/>
  <c r="B59" i="2"/>
  <c r="C59" i="2"/>
  <c r="N58" i="2"/>
  <c r="T58" i="2"/>
  <c r="V58" i="2"/>
  <c r="X58" i="2"/>
  <c r="Y58" i="2"/>
  <c r="F58" i="2"/>
  <c r="H58" i="2"/>
  <c r="B58" i="2"/>
  <c r="C58" i="2"/>
  <c r="N57" i="2"/>
  <c r="T57" i="2"/>
  <c r="V57" i="2"/>
  <c r="X57" i="2"/>
  <c r="Y57" i="2"/>
  <c r="F57" i="2"/>
  <c r="H57" i="2"/>
  <c r="B57" i="2"/>
  <c r="C57" i="2"/>
  <c r="N56" i="2" l="1"/>
  <c r="T56" i="2"/>
  <c r="V56" i="2"/>
  <c r="X56" i="2"/>
  <c r="Y56" i="2"/>
  <c r="F56" i="2"/>
  <c r="H56" i="2"/>
  <c r="B56" i="2"/>
  <c r="C56" i="2"/>
  <c r="B55" i="2" l="1"/>
  <c r="C55" i="2"/>
  <c r="F55" i="2"/>
  <c r="H55" i="2"/>
  <c r="N55" i="2"/>
  <c r="T55" i="2"/>
  <c r="V55" i="2"/>
  <c r="X55" i="2"/>
  <c r="Y55" i="2"/>
  <c r="N42" i="2" l="1"/>
  <c r="N43" i="2"/>
  <c r="N44" i="2"/>
  <c r="N45" i="2"/>
  <c r="N46" i="2"/>
  <c r="N47" i="2"/>
  <c r="N48" i="2"/>
  <c r="N49" i="2"/>
  <c r="N50" i="2"/>
  <c r="N51" i="2"/>
  <c r="N52" i="2"/>
  <c r="N53" i="2"/>
  <c r="N54" i="2"/>
  <c r="N60" i="2"/>
  <c r="N41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L21" i="2"/>
  <c r="B39" i="2" l="1"/>
  <c r="C39" i="2"/>
  <c r="H39" i="2"/>
  <c r="J39" i="2"/>
  <c r="L39" i="2"/>
  <c r="T39" i="2"/>
  <c r="V39" i="2"/>
  <c r="X39" i="2"/>
  <c r="Y39" i="2"/>
  <c r="J21" i="2" l="1"/>
  <c r="L51" i="2"/>
  <c r="L42" i="2"/>
  <c r="L43" i="2"/>
  <c r="L47" i="2"/>
  <c r="L48" i="2"/>
  <c r="L49" i="2"/>
  <c r="L50" i="2"/>
  <c r="L41" i="2"/>
  <c r="L6" i="2"/>
  <c r="L7" i="2"/>
  <c r="L8" i="2"/>
  <c r="L9" i="2"/>
  <c r="L10" i="2"/>
  <c r="L14" i="2"/>
  <c r="L15" i="2"/>
  <c r="L17" i="2"/>
  <c r="L19" i="2"/>
  <c r="L20" i="2"/>
  <c r="L22" i="2"/>
  <c r="L23" i="2"/>
  <c r="L24" i="2"/>
  <c r="L25" i="2"/>
  <c r="L27" i="2"/>
  <c r="L28" i="2"/>
  <c r="L29" i="2"/>
  <c r="L30" i="2"/>
  <c r="L31" i="2"/>
  <c r="L32" i="2"/>
  <c r="L33" i="2"/>
  <c r="L34" i="2"/>
  <c r="L35" i="2"/>
  <c r="L36" i="2"/>
  <c r="L37" i="2"/>
  <c r="L38" i="2"/>
  <c r="J42" i="2" l="1"/>
  <c r="J43" i="2"/>
  <c r="J7" i="2"/>
  <c r="J8" i="2"/>
  <c r="J9" i="2"/>
  <c r="J10" i="2"/>
  <c r="J14" i="2"/>
  <c r="J15" i="2"/>
  <c r="J19" i="2"/>
  <c r="J20" i="2"/>
  <c r="J22" i="2"/>
  <c r="J23" i="2"/>
  <c r="J25" i="2"/>
  <c r="J27" i="2"/>
  <c r="J29" i="2"/>
  <c r="J30" i="2"/>
  <c r="J31" i="2"/>
  <c r="J32" i="2"/>
  <c r="J33" i="2"/>
  <c r="J34" i="2"/>
  <c r="J35" i="2"/>
  <c r="J37" i="2"/>
  <c r="J38" i="2"/>
  <c r="J6" i="2"/>
  <c r="H21" i="2"/>
  <c r="H43" i="2"/>
  <c r="B38" i="2"/>
  <c r="B37" i="2"/>
  <c r="B36" i="2"/>
  <c r="B33" i="2"/>
  <c r="B27" i="2"/>
  <c r="B28" i="2"/>
  <c r="B29" i="2"/>
  <c r="B30" i="2"/>
  <c r="B31" i="2"/>
  <c r="B32" i="2"/>
  <c r="B26" i="2"/>
  <c r="B25" i="2"/>
  <c r="B20" i="2"/>
  <c r="B22" i="2"/>
  <c r="H42" i="2"/>
  <c r="H47" i="2"/>
  <c r="H48" i="2"/>
  <c r="H49" i="2"/>
  <c r="H50" i="2"/>
  <c r="H51" i="2"/>
  <c r="H52" i="2"/>
  <c r="H53" i="2"/>
  <c r="H54" i="2"/>
  <c r="H60" i="2"/>
  <c r="H22" i="2"/>
  <c r="H28" i="2"/>
  <c r="H29" i="2"/>
  <c r="H30" i="2"/>
  <c r="H32" i="2"/>
  <c r="H34" i="2"/>
  <c r="H35" i="2"/>
  <c r="H36" i="2"/>
  <c r="H37" i="2"/>
  <c r="H38" i="2"/>
  <c r="H9" i="2"/>
  <c r="H10" i="2"/>
  <c r="B60" i="2" l="1"/>
  <c r="C60" i="2"/>
  <c r="T60" i="2"/>
  <c r="V60" i="2"/>
  <c r="X60" i="2"/>
  <c r="Y60" i="2"/>
  <c r="Y17" i="2" l="1"/>
  <c r="B53" i="2"/>
  <c r="C53" i="2"/>
  <c r="T53" i="2"/>
  <c r="V53" i="2"/>
  <c r="X53" i="2"/>
  <c r="Y53" i="2"/>
  <c r="B54" i="2"/>
  <c r="C54" i="2"/>
  <c r="T54" i="2"/>
  <c r="V54" i="2"/>
  <c r="X54" i="2"/>
  <c r="Y54" i="2"/>
  <c r="P5" i="2" l="1"/>
  <c r="B52" i="2"/>
  <c r="C52" i="2"/>
  <c r="T52" i="2"/>
  <c r="V52" i="2"/>
  <c r="X52" i="2"/>
  <c r="Y52" i="2"/>
  <c r="B51" i="2"/>
  <c r="C51" i="2"/>
  <c r="T51" i="2"/>
  <c r="V51" i="2"/>
  <c r="X51" i="2"/>
  <c r="Y51" i="2"/>
  <c r="B49" i="2" l="1"/>
  <c r="C49" i="2"/>
  <c r="T49" i="2"/>
  <c r="V49" i="2"/>
  <c r="X49" i="2"/>
  <c r="Y49" i="2"/>
  <c r="B50" i="2"/>
  <c r="C50" i="2"/>
  <c r="T50" i="2"/>
  <c r="V50" i="2"/>
  <c r="X50" i="2"/>
  <c r="Y50" i="2"/>
  <c r="Y48" i="2" l="1"/>
  <c r="X48" i="2"/>
  <c r="V48" i="2"/>
  <c r="T48" i="2"/>
  <c r="Y47" i="2"/>
  <c r="X47" i="2"/>
  <c r="V47" i="2"/>
  <c r="T47" i="2"/>
  <c r="Y46" i="2"/>
  <c r="X46" i="2"/>
  <c r="V46" i="2"/>
  <c r="T46" i="2"/>
  <c r="Y45" i="2"/>
  <c r="X45" i="2"/>
  <c r="V45" i="2"/>
  <c r="T45" i="2"/>
  <c r="Y44" i="2"/>
  <c r="X44" i="2"/>
  <c r="V44" i="2"/>
  <c r="T44" i="2"/>
  <c r="Y43" i="2"/>
  <c r="X43" i="2"/>
  <c r="V43" i="2"/>
  <c r="T43" i="2"/>
  <c r="Y42" i="2"/>
  <c r="X42" i="2"/>
  <c r="V42" i="2"/>
  <c r="T42" i="2"/>
  <c r="Y41" i="2"/>
  <c r="X41" i="2"/>
  <c r="V41" i="2"/>
  <c r="T41" i="2"/>
  <c r="T21" i="2"/>
  <c r="V21" i="2"/>
  <c r="X21" i="2"/>
  <c r="Y21" i="2"/>
  <c r="T22" i="2"/>
  <c r="V22" i="2"/>
  <c r="X22" i="2"/>
  <c r="Y22" i="2"/>
  <c r="T23" i="2"/>
  <c r="V23" i="2"/>
  <c r="X23" i="2"/>
  <c r="Y23" i="2"/>
  <c r="T24" i="2"/>
  <c r="V24" i="2"/>
  <c r="X24" i="2"/>
  <c r="Y24" i="2"/>
  <c r="T25" i="2"/>
  <c r="V25" i="2"/>
  <c r="X25" i="2"/>
  <c r="Y25" i="2"/>
  <c r="T26" i="2"/>
  <c r="V26" i="2"/>
  <c r="X26" i="2"/>
  <c r="Y26" i="2"/>
  <c r="T27" i="2"/>
  <c r="V27" i="2"/>
  <c r="X27" i="2"/>
  <c r="Y27" i="2"/>
  <c r="T28" i="2"/>
  <c r="V28" i="2"/>
  <c r="X28" i="2"/>
  <c r="Y28" i="2"/>
  <c r="T29" i="2"/>
  <c r="V29" i="2"/>
  <c r="X29" i="2"/>
  <c r="Y29" i="2"/>
  <c r="T30" i="2"/>
  <c r="V30" i="2"/>
  <c r="X30" i="2"/>
  <c r="Y30" i="2"/>
  <c r="T31" i="2"/>
  <c r="V31" i="2"/>
  <c r="X31" i="2"/>
  <c r="Y31" i="2"/>
  <c r="T32" i="2"/>
  <c r="V32" i="2"/>
  <c r="X32" i="2"/>
  <c r="Y32" i="2"/>
  <c r="T33" i="2"/>
  <c r="V33" i="2"/>
  <c r="X33" i="2"/>
  <c r="Y33" i="2"/>
  <c r="T34" i="2"/>
  <c r="V34" i="2"/>
  <c r="X34" i="2"/>
  <c r="Y34" i="2"/>
  <c r="T35" i="2"/>
  <c r="V35" i="2"/>
  <c r="X35" i="2"/>
  <c r="Y35" i="2"/>
  <c r="T36" i="2"/>
  <c r="V36" i="2"/>
  <c r="X36" i="2"/>
  <c r="Y36" i="2"/>
  <c r="T37" i="2"/>
  <c r="V37" i="2"/>
  <c r="X37" i="2"/>
  <c r="Y37" i="2"/>
  <c r="T38" i="2"/>
  <c r="V38" i="2"/>
  <c r="X38" i="2"/>
  <c r="Y38" i="2"/>
  <c r="B46" i="2" l="1"/>
  <c r="B43" i="2" l="1"/>
  <c r="C43" i="2"/>
  <c r="B44" i="2"/>
  <c r="C44" i="2"/>
  <c r="B45" i="2"/>
  <c r="C45" i="2"/>
  <c r="C46" i="2"/>
  <c r="B47" i="2"/>
  <c r="C47" i="2"/>
  <c r="B48" i="2"/>
  <c r="C48" i="2"/>
  <c r="T13" i="2"/>
  <c r="V13" i="2"/>
  <c r="X13" i="2"/>
  <c r="Y13" i="2"/>
  <c r="X17" i="2"/>
  <c r="V17" i="2"/>
  <c r="T17" i="2"/>
  <c r="B5" i="2" l="1"/>
  <c r="B6" i="2"/>
  <c r="B7" i="2"/>
  <c r="B8" i="2"/>
  <c r="B9" i="2"/>
  <c r="B10" i="2"/>
  <c r="B11" i="2"/>
  <c r="B12" i="2"/>
  <c r="B13" i="2"/>
  <c r="B14" i="2"/>
  <c r="C42" i="2" l="1"/>
  <c r="B42" i="2"/>
  <c r="C41" i="2"/>
  <c r="B41" i="2"/>
  <c r="D40" i="2"/>
  <c r="F40" i="2" s="1"/>
  <c r="C40" i="2"/>
  <c r="X20" i="2"/>
  <c r="X19" i="2"/>
  <c r="X18" i="2"/>
  <c r="X16" i="2"/>
  <c r="X15" i="2"/>
  <c r="X14" i="2"/>
  <c r="X12" i="2"/>
  <c r="X11" i="2"/>
  <c r="X10" i="2"/>
  <c r="X9" i="2"/>
  <c r="X8" i="2"/>
  <c r="X7" i="2"/>
  <c r="X6" i="2"/>
  <c r="X5" i="2"/>
  <c r="V20" i="2"/>
  <c r="V19" i="2"/>
  <c r="V18" i="2"/>
  <c r="V16" i="2"/>
  <c r="V15" i="2"/>
  <c r="V14" i="2"/>
  <c r="V12" i="2"/>
  <c r="V11" i="2"/>
  <c r="V10" i="2"/>
  <c r="V9" i="2"/>
  <c r="V8" i="2"/>
  <c r="V7" i="2"/>
  <c r="V6" i="2"/>
  <c r="V5" i="2"/>
  <c r="T20" i="2"/>
  <c r="T19" i="2"/>
  <c r="T18" i="2"/>
  <c r="T16" i="2"/>
  <c r="T15" i="2"/>
  <c r="T14" i="2"/>
  <c r="T12" i="2"/>
  <c r="T11" i="2"/>
  <c r="T10" i="2"/>
  <c r="T9" i="2"/>
  <c r="T8" i="2"/>
  <c r="T7" i="2"/>
  <c r="T6" i="2"/>
  <c r="T5" i="2"/>
  <c r="R5" i="2"/>
  <c r="R3" i="2" s="1"/>
  <c r="N5" i="2"/>
  <c r="N3" i="2" s="1"/>
  <c r="L5" i="2"/>
  <c r="J5" i="2"/>
  <c r="Y20" i="2"/>
  <c r="Y19" i="2"/>
  <c r="Y18" i="2"/>
  <c r="Y16" i="2"/>
  <c r="Y15" i="2"/>
  <c r="Y14" i="2"/>
  <c r="Y12" i="2"/>
  <c r="Y11" i="2"/>
  <c r="Y10" i="2"/>
  <c r="Y9" i="2"/>
  <c r="Y8" i="2"/>
  <c r="Y7" i="2"/>
  <c r="Y6" i="2"/>
  <c r="Y5" i="2"/>
  <c r="T3" i="2" l="1"/>
  <c r="V3" i="2"/>
  <c r="C33" i="2" l="1"/>
  <c r="C38" i="2"/>
  <c r="C37" i="2"/>
  <c r="C36" i="2"/>
  <c r="C35" i="2"/>
  <c r="B35" i="2"/>
  <c r="C34" i="2"/>
  <c r="B34" i="2"/>
  <c r="C32" i="2"/>
  <c r="C31" i="2"/>
  <c r="C30" i="2"/>
  <c r="C29" i="2"/>
  <c r="C28" i="2"/>
  <c r="C27" i="2"/>
  <c r="C26" i="2"/>
  <c r="C25" i="2"/>
  <c r="C24" i="2"/>
  <c r="B24" i="2"/>
  <c r="C23" i="2"/>
  <c r="B23" i="2"/>
  <c r="C22" i="2"/>
  <c r="C21" i="2"/>
  <c r="B21" i="2"/>
  <c r="C20" i="2"/>
  <c r="C19" i="2"/>
  <c r="B19" i="2"/>
  <c r="C18" i="2"/>
  <c r="B18" i="2"/>
  <c r="C17" i="2"/>
  <c r="B17" i="2"/>
  <c r="C16" i="2"/>
  <c r="B16" i="2"/>
  <c r="C15" i="2"/>
  <c r="B15" i="2"/>
  <c r="C14" i="2"/>
  <c r="C13" i="2"/>
  <c r="C12" i="2"/>
  <c r="C11" i="2"/>
  <c r="C10" i="2"/>
  <c r="C9" i="2"/>
  <c r="C8" i="2"/>
  <c r="C7" i="2"/>
  <c r="C6" i="2"/>
  <c r="C5" i="2"/>
  <c r="H1007" i="1"/>
  <c r="I1007" i="1" s="1"/>
  <c r="I1006" i="1" s="1"/>
  <c r="G1007" i="1"/>
  <c r="G1006" i="1" s="1"/>
  <c r="H1005" i="1"/>
  <c r="I1005" i="1" s="1"/>
  <c r="G1005" i="1"/>
  <c r="H1004" i="1"/>
  <c r="I1004" i="1" s="1"/>
  <c r="G1004" i="1"/>
  <c r="H1003" i="1"/>
  <c r="I1003" i="1" s="1"/>
  <c r="G1003" i="1"/>
  <c r="H1002" i="1"/>
  <c r="I1002" i="1" s="1"/>
  <c r="G1002" i="1"/>
  <c r="H1001" i="1"/>
  <c r="I1001" i="1" s="1"/>
  <c r="G1001" i="1"/>
  <c r="H1000" i="1"/>
  <c r="I1000" i="1" s="1"/>
  <c r="G1000" i="1"/>
  <c r="H999" i="1"/>
  <c r="I999" i="1" s="1"/>
  <c r="G999" i="1"/>
  <c r="H998" i="1"/>
  <c r="I998" i="1" s="1"/>
  <c r="G998" i="1"/>
  <c r="H997" i="1"/>
  <c r="I997" i="1" s="1"/>
  <c r="G997" i="1"/>
  <c r="H996" i="1"/>
  <c r="I996" i="1" s="1"/>
  <c r="G996" i="1"/>
  <c r="H995" i="1"/>
  <c r="I995" i="1" s="1"/>
  <c r="G995" i="1"/>
  <c r="H994" i="1"/>
  <c r="I994" i="1" s="1"/>
  <c r="G994" i="1"/>
  <c r="H993" i="1"/>
  <c r="I993" i="1" s="1"/>
  <c r="G993" i="1"/>
  <c r="H992" i="1"/>
  <c r="I992" i="1" s="1"/>
  <c r="G992" i="1"/>
  <c r="H991" i="1"/>
  <c r="I991" i="1" s="1"/>
  <c r="G991" i="1"/>
  <c r="H990" i="1"/>
  <c r="I990" i="1" s="1"/>
  <c r="G990" i="1"/>
  <c r="H989" i="1"/>
  <c r="I989" i="1" s="1"/>
  <c r="G989" i="1"/>
  <c r="H988" i="1"/>
  <c r="I988" i="1" s="1"/>
  <c r="G988" i="1"/>
  <c r="H987" i="1"/>
  <c r="I987" i="1" s="1"/>
  <c r="G987" i="1"/>
  <c r="H986" i="1"/>
  <c r="I986" i="1" s="1"/>
  <c r="G986" i="1"/>
  <c r="H985" i="1"/>
  <c r="I985" i="1" s="1"/>
  <c r="G985" i="1"/>
  <c r="H984" i="1"/>
  <c r="I984" i="1" s="1"/>
  <c r="G984" i="1"/>
  <c r="H983" i="1"/>
  <c r="I983" i="1" s="1"/>
  <c r="G983" i="1"/>
  <c r="H982" i="1"/>
  <c r="I982" i="1" s="1"/>
  <c r="G982" i="1"/>
  <c r="H981" i="1"/>
  <c r="I981" i="1" s="1"/>
  <c r="G981" i="1"/>
  <c r="H980" i="1"/>
  <c r="I980" i="1" s="1"/>
  <c r="G980" i="1"/>
  <c r="H979" i="1"/>
  <c r="I979" i="1" s="1"/>
  <c r="G979" i="1"/>
  <c r="H978" i="1"/>
  <c r="I978" i="1" s="1"/>
  <c r="G978" i="1"/>
  <c r="H977" i="1"/>
  <c r="I977" i="1" s="1"/>
  <c r="G977" i="1"/>
  <c r="H976" i="1"/>
  <c r="I976" i="1" s="1"/>
  <c r="G976" i="1"/>
  <c r="H975" i="1"/>
  <c r="I975" i="1" s="1"/>
  <c r="G975" i="1"/>
  <c r="H974" i="1"/>
  <c r="I974" i="1" s="1"/>
  <c r="G974" i="1"/>
  <c r="H973" i="1"/>
  <c r="I973" i="1" s="1"/>
  <c r="G973" i="1"/>
  <c r="H972" i="1"/>
  <c r="I972" i="1" s="1"/>
  <c r="G972" i="1"/>
  <c r="H971" i="1"/>
  <c r="I971" i="1" s="1"/>
  <c r="G971" i="1"/>
  <c r="H970" i="1"/>
  <c r="I970" i="1" s="1"/>
  <c r="G970" i="1"/>
  <c r="H969" i="1"/>
  <c r="I969" i="1" s="1"/>
  <c r="G969" i="1"/>
  <c r="H968" i="1"/>
  <c r="I968" i="1" s="1"/>
  <c r="G968" i="1"/>
  <c r="H967" i="1"/>
  <c r="I967" i="1" s="1"/>
  <c r="G967" i="1"/>
  <c r="H966" i="1"/>
  <c r="I966" i="1" s="1"/>
  <c r="G966" i="1"/>
  <c r="H965" i="1"/>
  <c r="I965" i="1" s="1"/>
  <c r="G965" i="1"/>
  <c r="H964" i="1"/>
  <c r="I964" i="1" s="1"/>
  <c r="G964" i="1"/>
  <c r="H963" i="1"/>
  <c r="I963" i="1" s="1"/>
  <c r="G963" i="1"/>
  <c r="H962" i="1"/>
  <c r="I962" i="1" s="1"/>
  <c r="G962" i="1"/>
  <c r="H961" i="1"/>
  <c r="I961" i="1" s="1"/>
  <c r="G961" i="1"/>
  <c r="H960" i="1"/>
  <c r="I960" i="1" s="1"/>
  <c r="G960" i="1"/>
  <c r="H959" i="1"/>
  <c r="I959" i="1" s="1"/>
  <c r="G959" i="1"/>
  <c r="H958" i="1"/>
  <c r="I958" i="1" s="1"/>
  <c r="G958" i="1"/>
  <c r="H957" i="1"/>
  <c r="I957" i="1" s="1"/>
  <c r="G957" i="1"/>
  <c r="H956" i="1"/>
  <c r="I956" i="1" s="1"/>
  <c r="G956" i="1"/>
  <c r="H955" i="1"/>
  <c r="I955" i="1" s="1"/>
  <c r="G955" i="1"/>
  <c r="H954" i="1"/>
  <c r="I954" i="1" s="1"/>
  <c r="G954" i="1"/>
  <c r="H953" i="1"/>
  <c r="I953" i="1" s="1"/>
  <c r="G953" i="1"/>
  <c r="H951" i="1"/>
  <c r="I951" i="1" s="1"/>
  <c r="G951" i="1"/>
  <c r="H950" i="1"/>
  <c r="I950" i="1" s="1"/>
  <c r="G950" i="1"/>
  <c r="H949" i="1"/>
  <c r="G949" i="1"/>
  <c r="H948" i="1"/>
  <c r="I948" i="1" s="1"/>
  <c r="G948" i="1"/>
  <c r="H947" i="1"/>
  <c r="I947" i="1" s="1"/>
  <c r="G947" i="1"/>
  <c r="H946" i="1"/>
  <c r="I946" i="1" s="1"/>
  <c r="G946" i="1"/>
  <c r="H945" i="1"/>
  <c r="I945" i="1" s="1"/>
  <c r="G945" i="1"/>
  <c r="H944" i="1"/>
  <c r="I944" i="1" s="1"/>
  <c r="G944" i="1"/>
  <c r="H943" i="1"/>
  <c r="I943" i="1" s="1"/>
  <c r="G943" i="1"/>
  <c r="H942" i="1"/>
  <c r="I942" i="1" s="1"/>
  <c r="G942" i="1"/>
  <c r="H941" i="1"/>
  <c r="I941" i="1" s="1"/>
  <c r="G941" i="1"/>
  <c r="H940" i="1"/>
  <c r="I940" i="1" s="1"/>
  <c r="G940" i="1"/>
  <c r="H939" i="1"/>
  <c r="I939" i="1" s="1"/>
  <c r="G939" i="1"/>
  <c r="H938" i="1"/>
  <c r="I938" i="1" s="1"/>
  <c r="G938" i="1"/>
  <c r="H937" i="1"/>
  <c r="I937" i="1" s="1"/>
  <c r="G937" i="1"/>
  <c r="H936" i="1"/>
  <c r="I936" i="1" s="1"/>
  <c r="G936" i="1"/>
  <c r="H935" i="1"/>
  <c r="I935" i="1" s="1"/>
  <c r="G935" i="1"/>
  <c r="H934" i="1"/>
  <c r="I934" i="1" s="1"/>
  <c r="G934" i="1"/>
  <c r="H933" i="1"/>
  <c r="I933" i="1" s="1"/>
  <c r="G933" i="1"/>
  <c r="H932" i="1"/>
  <c r="I932" i="1" s="1"/>
  <c r="G932" i="1"/>
  <c r="H931" i="1"/>
  <c r="I931" i="1" s="1"/>
  <c r="G931" i="1"/>
  <c r="H930" i="1"/>
  <c r="I930" i="1" s="1"/>
  <c r="G930" i="1"/>
  <c r="H929" i="1"/>
  <c r="I929" i="1" s="1"/>
  <c r="G929" i="1"/>
  <c r="H928" i="1"/>
  <c r="I928" i="1" s="1"/>
  <c r="G928" i="1"/>
  <c r="H927" i="1"/>
  <c r="I927" i="1" s="1"/>
  <c r="G927" i="1"/>
  <c r="H926" i="1"/>
  <c r="I926" i="1" s="1"/>
  <c r="G926" i="1"/>
  <c r="H925" i="1"/>
  <c r="I925" i="1" s="1"/>
  <c r="G925" i="1"/>
  <c r="H924" i="1"/>
  <c r="I924" i="1" s="1"/>
  <c r="G924" i="1"/>
  <c r="H923" i="1"/>
  <c r="I923" i="1" s="1"/>
  <c r="G923" i="1"/>
  <c r="H922" i="1"/>
  <c r="I922" i="1" s="1"/>
  <c r="G922" i="1"/>
  <c r="H921" i="1"/>
  <c r="I921" i="1" s="1"/>
  <c r="G921" i="1"/>
  <c r="H920" i="1"/>
  <c r="I920" i="1" s="1"/>
  <c r="G920" i="1"/>
  <c r="H919" i="1"/>
  <c r="I919" i="1" s="1"/>
  <c r="G919" i="1"/>
  <c r="H918" i="1"/>
  <c r="I918" i="1" s="1"/>
  <c r="G918" i="1"/>
  <c r="H917" i="1"/>
  <c r="I917" i="1" s="1"/>
  <c r="G917" i="1"/>
  <c r="H916" i="1"/>
  <c r="I916" i="1" s="1"/>
  <c r="G916" i="1"/>
  <c r="H915" i="1"/>
  <c r="I915" i="1" s="1"/>
  <c r="G915" i="1"/>
  <c r="H914" i="1"/>
  <c r="I914" i="1" s="1"/>
  <c r="G914" i="1"/>
  <c r="H913" i="1"/>
  <c r="I913" i="1" s="1"/>
  <c r="G913" i="1"/>
  <c r="H912" i="1"/>
  <c r="I912" i="1" s="1"/>
  <c r="G912" i="1"/>
  <c r="H911" i="1"/>
  <c r="I911" i="1" s="1"/>
  <c r="G911" i="1"/>
  <c r="H910" i="1"/>
  <c r="I910" i="1" s="1"/>
  <c r="G910" i="1"/>
  <c r="H909" i="1"/>
  <c r="I909" i="1" s="1"/>
  <c r="G909" i="1"/>
  <c r="H908" i="1"/>
  <c r="I908" i="1" s="1"/>
  <c r="G908" i="1"/>
  <c r="H907" i="1"/>
  <c r="I907" i="1" s="1"/>
  <c r="G907" i="1"/>
  <c r="H906" i="1"/>
  <c r="I906" i="1" s="1"/>
  <c r="G906" i="1"/>
  <c r="H905" i="1"/>
  <c r="I905" i="1" s="1"/>
  <c r="G905" i="1"/>
  <c r="H904" i="1"/>
  <c r="I904" i="1" s="1"/>
  <c r="G904" i="1"/>
  <c r="H903" i="1"/>
  <c r="I903" i="1" s="1"/>
  <c r="G903" i="1"/>
  <c r="H902" i="1"/>
  <c r="I902" i="1" s="1"/>
  <c r="G902" i="1"/>
  <c r="H901" i="1"/>
  <c r="I901" i="1" s="1"/>
  <c r="G901" i="1"/>
  <c r="H900" i="1"/>
  <c r="I900" i="1" s="1"/>
  <c r="G900" i="1"/>
  <c r="H899" i="1"/>
  <c r="I899" i="1" s="1"/>
  <c r="G899" i="1"/>
  <c r="H898" i="1"/>
  <c r="I898" i="1" s="1"/>
  <c r="G898" i="1"/>
  <c r="H897" i="1"/>
  <c r="I897" i="1" s="1"/>
  <c r="G897" i="1"/>
  <c r="H896" i="1"/>
  <c r="I896" i="1" s="1"/>
  <c r="G896" i="1"/>
  <c r="H895" i="1"/>
  <c r="I895" i="1" s="1"/>
  <c r="G895" i="1"/>
  <c r="H894" i="1"/>
  <c r="I894" i="1" s="1"/>
  <c r="G894" i="1"/>
  <c r="H893" i="1"/>
  <c r="I893" i="1" s="1"/>
  <c r="G893" i="1"/>
  <c r="H892" i="1"/>
  <c r="I892" i="1" s="1"/>
  <c r="G892" i="1"/>
  <c r="H890" i="1"/>
  <c r="I890" i="1" s="1"/>
  <c r="G890" i="1"/>
  <c r="H889" i="1"/>
  <c r="I889" i="1" s="1"/>
  <c r="G889" i="1"/>
  <c r="H888" i="1"/>
  <c r="I888" i="1" s="1"/>
  <c r="G888" i="1"/>
  <c r="H887" i="1"/>
  <c r="I887" i="1" s="1"/>
  <c r="G887" i="1"/>
  <c r="H886" i="1"/>
  <c r="I886" i="1" s="1"/>
  <c r="G886" i="1"/>
  <c r="H885" i="1"/>
  <c r="I885" i="1" s="1"/>
  <c r="G885" i="1"/>
  <c r="H884" i="1"/>
  <c r="I884" i="1" s="1"/>
  <c r="G884" i="1"/>
  <c r="H883" i="1"/>
  <c r="I883" i="1" s="1"/>
  <c r="G883" i="1"/>
  <c r="H882" i="1"/>
  <c r="I882" i="1" s="1"/>
  <c r="G882" i="1"/>
  <c r="H881" i="1"/>
  <c r="I881" i="1" s="1"/>
  <c r="G881" i="1"/>
  <c r="H880" i="1"/>
  <c r="I880" i="1" s="1"/>
  <c r="G880" i="1"/>
  <c r="H879" i="1"/>
  <c r="I879" i="1" s="1"/>
  <c r="G879" i="1"/>
  <c r="H877" i="1"/>
  <c r="I877" i="1" s="1"/>
  <c r="G877" i="1"/>
  <c r="H876" i="1"/>
  <c r="I876" i="1" s="1"/>
  <c r="G876" i="1"/>
  <c r="H875" i="1"/>
  <c r="I875" i="1" s="1"/>
  <c r="G875" i="1"/>
  <c r="H874" i="1"/>
  <c r="I874" i="1" s="1"/>
  <c r="G874" i="1"/>
  <c r="H873" i="1"/>
  <c r="I873" i="1" s="1"/>
  <c r="G873" i="1"/>
  <c r="H872" i="1"/>
  <c r="I872" i="1" s="1"/>
  <c r="G872" i="1"/>
  <c r="H871" i="1"/>
  <c r="I871" i="1" s="1"/>
  <c r="G871" i="1"/>
  <c r="H870" i="1"/>
  <c r="I870" i="1" s="1"/>
  <c r="G870" i="1"/>
  <c r="H869" i="1"/>
  <c r="I869" i="1" s="1"/>
  <c r="G869" i="1"/>
  <c r="H867" i="1"/>
  <c r="I867" i="1" s="1"/>
  <c r="G867" i="1"/>
  <c r="H866" i="1"/>
  <c r="I866" i="1" s="1"/>
  <c r="G866" i="1"/>
  <c r="H865" i="1"/>
  <c r="I865" i="1" s="1"/>
  <c r="G865" i="1"/>
  <c r="H864" i="1"/>
  <c r="I864" i="1" s="1"/>
  <c r="G864" i="1"/>
  <c r="H863" i="1"/>
  <c r="I863" i="1" s="1"/>
  <c r="G863" i="1"/>
  <c r="H862" i="1"/>
  <c r="I862" i="1" s="1"/>
  <c r="G862" i="1"/>
  <c r="H861" i="1"/>
  <c r="I861" i="1" s="1"/>
  <c r="G861" i="1"/>
  <c r="H859" i="1"/>
  <c r="I859" i="1" s="1"/>
  <c r="G859" i="1"/>
  <c r="H858" i="1"/>
  <c r="I858" i="1" s="1"/>
  <c r="G858" i="1"/>
  <c r="H857" i="1"/>
  <c r="I857" i="1" s="1"/>
  <c r="G857" i="1"/>
  <c r="H856" i="1"/>
  <c r="I856" i="1" s="1"/>
  <c r="G856" i="1"/>
  <c r="H855" i="1"/>
  <c r="I855" i="1" s="1"/>
  <c r="G855" i="1"/>
  <c r="H854" i="1"/>
  <c r="I854" i="1" s="1"/>
  <c r="G854" i="1"/>
  <c r="H853" i="1"/>
  <c r="I853" i="1" s="1"/>
  <c r="G853" i="1"/>
  <c r="H852" i="1"/>
  <c r="I852" i="1" s="1"/>
  <c r="G852" i="1"/>
  <c r="H851" i="1"/>
  <c r="I851" i="1" s="1"/>
  <c r="G851" i="1"/>
  <c r="H849" i="1"/>
  <c r="I849" i="1" s="1"/>
  <c r="G849" i="1"/>
  <c r="H848" i="1"/>
  <c r="I848" i="1" s="1"/>
  <c r="G848" i="1"/>
  <c r="H846" i="1"/>
  <c r="I846" i="1" s="1"/>
  <c r="G846" i="1"/>
  <c r="H845" i="1"/>
  <c r="I845" i="1" s="1"/>
  <c r="G845" i="1"/>
  <c r="H844" i="1"/>
  <c r="I844" i="1" s="1"/>
  <c r="G844" i="1"/>
  <c r="H843" i="1"/>
  <c r="I843" i="1" s="1"/>
  <c r="G843" i="1"/>
  <c r="H842" i="1"/>
  <c r="I842" i="1" s="1"/>
  <c r="G842" i="1"/>
  <c r="H840" i="1"/>
  <c r="I840" i="1" s="1"/>
  <c r="G840" i="1"/>
  <c r="H839" i="1"/>
  <c r="I839" i="1" s="1"/>
  <c r="G839" i="1"/>
  <c r="H838" i="1"/>
  <c r="I838" i="1" s="1"/>
  <c r="G838" i="1"/>
  <c r="H837" i="1"/>
  <c r="I837" i="1" s="1"/>
  <c r="G837" i="1"/>
  <c r="H836" i="1"/>
  <c r="I836" i="1" s="1"/>
  <c r="G836" i="1"/>
  <c r="H835" i="1"/>
  <c r="I835" i="1" s="1"/>
  <c r="G835" i="1"/>
  <c r="H833" i="1"/>
  <c r="I833" i="1" s="1"/>
  <c r="G833" i="1"/>
  <c r="H832" i="1"/>
  <c r="I832" i="1" s="1"/>
  <c r="G832" i="1"/>
  <c r="H831" i="1"/>
  <c r="I831" i="1" s="1"/>
  <c r="G831" i="1"/>
  <c r="H830" i="1"/>
  <c r="I830" i="1" s="1"/>
  <c r="G830" i="1"/>
  <c r="H829" i="1"/>
  <c r="I829" i="1" s="1"/>
  <c r="G829" i="1"/>
  <c r="H828" i="1"/>
  <c r="I828" i="1" s="1"/>
  <c r="G828" i="1"/>
  <c r="H826" i="1"/>
  <c r="I826" i="1" s="1"/>
  <c r="G826" i="1"/>
  <c r="H825" i="1"/>
  <c r="I825" i="1" s="1"/>
  <c r="G825" i="1"/>
  <c r="H824" i="1"/>
  <c r="I824" i="1" s="1"/>
  <c r="G824" i="1"/>
  <c r="H823" i="1"/>
  <c r="I823" i="1" s="1"/>
  <c r="G823" i="1"/>
  <c r="H822" i="1"/>
  <c r="I822" i="1" s="1"/>
  <c r="G822" i="1"/>
  <c r="H819" i="1"/>
  <c r="I819" i="1" s="1"/>
  <c r="G819" i="1"/>
  <c r="H818" i="1"/>
  <c r="I818" i="1" s="1"/>
  <c r="G818" i="1"/>
  <c r="H817" i="1"/>
  <c r="I817" i="1" s="1"/>
  <c r="G817" i="1"/>
  <c r="H816" i="1"/>
  <c r="I816" i="1" s="1"/>
  <c r="G816" i="1"/>
  <c r="H815" i="1"/>
  <c r="I815" i="1" s="1"/>
  <c r="G815" i="1"/>
  <c r="H814" i="1"/>
  <c r="I814" i="1" s="1"/>
  <c r="G814" i="1"/>
  <c r="H813" i="1"/>
  <c r="I813" i="1" s="1"/>
  <c r="G813" i="1"/>
  <c r="H812" i="1"/>
  <c r="I812" i="1" s="1"/>
  <c r="G812" i="1"/>
  <c r="H811" i="1"/>
  <c r="I811" i="1" s="1"/>
  <c r="G811" i="1"/>
  <c r="H810" i="1"/>
  <c r="I810" i="1" s="1"/>
  <c r="G810" i="1"/>
  <c r="H809" i="1"/>
  <c r="I809" i="1" s="1"/>
  <c r="G809" i="1"/>
  <c r="H808" i="1"/>
  <c r="I808" i="1" s="1"/>
  <c r="G808" i="1"/>
  <c r="H807" i="1"/>
  <c r="I807" i="1" s="1"/>
  <c r="G807" i="1"/>
  <c r="H806" i="1"/>
  <c r="I806" i="1" s="1"/>
  <c r="G806" i="1"/>
  <c r="H805" i="1"/>
  <c r="I805" i="1" s="1"/>
  <c r="G805" i="1"/>
  <c r="H804" i="1"/>
  <c r="I804" i="1" s="1"/>
  <c r="G804" i="1"/>
  <c r="H803" i="1"/>
  <c r="I803" i="1" s="1"/>
  <c r="G803" i="1"/>
  <c r="H801" i="1"/>
  <c r="I801" i="1" s="1"/>
  <c r="G801" i="1"/>
  <c r="H800" i="1"/>
  <c r="I800" i="1" s="1"/>
  <c r="G800" i="1"/>
  <c r="H799" i="1"/>
  <c r="I799" i="1" s="1"/>
  <c r="G799" i="1"/>
  <c r="H798" i="1"/>
  <c r="I798" i="1" s="1"/>
  <c r="G798" i="1"/>
  <c r="H797" i="1"/>
  <c r="I797" i="1" s="1"/>
  <c r="G797" i="1"/>
  <c r="H796" i="1"/>
  <c r="I796" i="1" s="1"/>
  <c r="G796" i="1"/>
  <c r="H795" i="1"/>
  <c r="I795" i="1" s="1"/>
  <c r="G795" i="1"/>
  <c r="H794" i="1"/>
  <c r="I794" i="1" s="1"/>
  <c r="G794" i="1"/>
  <c r="H793" i="1"/>
  <c r="I793" i="1" s="1"/>
  <c r="G793" i="1"/>
  <c r="H792" i="1"/>
  <c r="I792" i="1" s="1"/>
  <c r="G792" i="1"/>
  <c r="H790" i="1"/>
  <c r="I790" i="1" s="1"/>
  <c r="G790" i="1"/>
  <c r="H789" i="1"/>
  <c r="I789" i="1" s="1"/>
  <c r="G789" i="1"/>
  <c r="H788" i="1"/>
  <c r="I788" i="1" s="1"/>
  <c r="G788" i="1"/>
  <c r="H787" i="1"/>
  <c r="I787" i="1" s="1"/>
  <c r="G787" i="1"/>
  <c r="H785" i="1"/>
  <c r="I785" i="1" s="1"/>
  <c r="G785" i="1"/>
  <c r="H784" i="1"/>
  <c r="I784" i="1" s="1"/>
  <c r="G784" i="1"/>
  <c r="H783" i="1"/>
  <c r="I783" i="1" s="1"/>
  <c r="G783" i="1"/>
  <c r="H782" i="1"/>
  <c r="I782" i="1" s="1"/>
  <c r="G782" i="1"/>
  <c r="H781" i="1"/>
  <c r="I781" i="1" s="1"/>
  <c r="G781" i="1"/>
  <c r="H780" i="1"/>
  <c r="I780" i="1" s="1"/>
  <c r="G780" i="1"/>
  <c r="H779" i="1"/>
  <c r="I779" i="1" s="1"/>
  <c r="G779" i="1"/>
  <c r="H778" i="1"/>
  <c r="I778" i="1" s="1"/>
  <c r="G778" i="1"/>
  <c r="H777" i="1"/>
  <c r="I777" i="1" s="1"/>
  <c r="G777" i="1"/>
  <c r="H776" i="1"/>
  <c r="I776" i="1" s="1"/>
  <c r="G776" i="1"/>
  <c r="H775" i="1"/>
  <c r="I775" i="1" s="1"/>
  <c r="G775" i="1"/>
  <c r="H774" i="1"/>
  <c r="I774" i="1" s="1"/>
  <c r="G774" i="1"/>
  <c r="H773" i="1"/>
  <c r="I773" i="1" s="1"/>
  <c r="G773" i="1"/>
  <c r="H772" i="1"/>
  <c r="I772" i="1" s="1"/>
  <c r="G772" i="1"/>
  <c r="H771" i="1"/>
  <c r="I771" i="1" s="1"/>
  <c r="G771" i="1"/>
  <c r="H770" i="1"/>
  <c r="I770" i="1" s="1"/>
  <c r="G770" i="1"/>
  <c r="H768" i="1"/>
  <c r="I768" i="1" s="1"/>
  <c r="G768" i="1"/>
  <c r="H767" i="1"/>
  <c r="I767" i="1" s="1"/>
  <c r="G767" i="1"/>
  <c r="H766" i="1"/>
  <c r="G766" i="1"/>
  <c r="H765" i="1"/>
  <c r="I765" i="1" s="1"/>
  <c r="G765" i="1"/>
  <c r="H764" i="1"/>
  <c r="I764" i="1" s="1"/>
  <c r="G764" i="1"/>
  <c r="H763" i="1"/>
  <c r="I763" i="1" s="1"/>
  <c r="G763" i="1"/>
  <c r="H762" i="1"/>
  <c r="I762" i="1" s="1"/>
  <c r="G762" i="1"/>
  <c r="H761" i="1"/>
  <c r="I761" i="1" s="1"/>
  <c r="G761" i="1"/>
  <c r="H760" i="1"/>
  <c r="I760" i="1" s="1"/>
  <c r="G760" i="1"/>
  <c r="H759" i="1"/>
  <c r="I759" i="1" s="1"/>
  <c r="G759" i="1"/>
  <c r="H758" i="1"/>
  <c r="I758" i="1" s="1"/>
  <c r="G758" i="1"/>
  <c r="H757" i="1"/>
  <c r="I757" i="1" s="1"/>
  <c r="G757" i="1"/>
  <c r="H756" i="1"/>
  <c r="I756" i="1" s="1"/>
  <c r="G756" i="1"/>
  <c r="H755" i="1"/>
  <c r="G755" i="1"/>
  <c r="H753" i="1"/>
  <c r="I753" i="1" s="1"/>
  <c r="G753" i="1"/>
  <c r="H752" i="1"/>
  <c r="I752" i="1" s="1"/>
  <c r="G752" i="1"/>
  <c r="H751" i="1"/>
  <c r="I751" i="1" s="1"/>
  <c r="G751" i="1"/>
  <c r="H750" i="1"/>
  <c r="I750" i="1" s="1"/>
  <c r="G750" i="1"/>
  <c r="H749" i="1"/>
  <c r="I749" i="1" s="1"/>
  <c r="G749" i="1"/>
  <c r="H748" i="1"/>
  <c r="I748" i="1" s="1"/>
  <c r="G748" i="1"/>
  <c r="H747" i="1"/>
  <c r="I747" i="1" s="1"/>
  <c r="G747" i="1"/>
  <c r="H746" i="1"/>
  <c r="I746" i="1" s="1"/>
  <c r="G746" i="1"/>
  <c r="H745" i="1"/>
  <c r="I745" i="1" s="1"/>
  <c r="G745" i="1"/>
  <c r="H744" i="1"/>
  <c r="I744" i="1" s="1"/>
  <c r="G744" i="1"/>
  <c r="H741" i="1"/>
  <c r="I741" i="1" s="1"/>
  <c r="G741" i="1"/>
  <c r="H740" i="1"/>
  <c r="I740" i="1" s="1"/>
  <c r="G740" i="1"/>
  <c r="H739" i="1"/>
  <c r="I739" i="1" s="1"/>
  <c r="G739" i="1"/>
  <c r="H738" i="1"/>
  <c r="I738" i="1" s="1"/>
  <c r="G738" i="1"/>
  <c r="H737" i="1"/>
  <c r="I737" i="1" s="1"/>
  <c r="G737" i="1"/>
  <c r="H736" i="1"/>
  <c r="I736" i="1" s="1"/>
  <c r="G736" i="1"/>
  <c r="H735" i="1"/>
  <c r="I735" i="1" s="1"/>
  <c r="G735" i="1"/>
  <c r="H734" i="1"/>
  <c r="I734" i="1" s="1"/>
  <c r="G734" i="1"/>
  <c r="H733" i="1"/>
  <c r="I733" i="1" s="1"/>
  <c r="G733" i="1"/>
  <c r="H732" i="1"/>
  <c r="I732" i="1" s="1"/>
  <c r="G732" i="1"/>
  <c r="H731" i="1"/>
  <c r="I731" i="1" s="1"/>
  <c r="G731" i="1"/>
  <c r="H730" i="1"/>
  <c r="I730" i="1" s="1"/>
  <c r="G730" i="1"/>
  <c r="H729" i="1"/>
  <c r="I729" i="1" s="1"/>
  <c r="G729" i="1"/>
  <c r="H727" i="1"/>
  <c r="I727" i="1" s="1"/>
  <c r="G727" i="1"/>
  <c r="H726" i="1"/>
  <c r="I726" i="1" s="1"/>
  <c r="G726" i="1"/>
  <c r="H724" i="1"/>
  <c r="I724" i="1" s="1"/>
  <c r="G724" i="1"/>
  <c r="H723" i="1"/>
  <c r="I723" i="1" s="1"/>
  <c r="G723" i="1"/>
  <c r="H722" i="1"/>
  <c r="I722" i="1" s="1"/>
  <c r="G722" i="1"/>
  <c r="H720" i="1"/>
  <c r="I720" i="1" s="1"/>
  <c r="G720" i="1"/>
  <c r="H719" i="1"/>
  <c r="I719" i="1" s="1"/>
  <c r="G719" i="1"/>
  <c r="H718" i="1"/>
  <c r="I718" i="1" s="1"/>
  <c r="G718" i="1"/>
  <c r="H717" i="1"/>
  <c r="I717" i="1" s="1"/>
  <c r="G717" i="1"/>
  <c r="H716" i="1"/>
  <c r="I716" i="1" s="1"/>
  <c r="G716" i="1"/>
  <c r="H715" i="1"/>
  <c r="I715" i="1" s="1"/>
  <c r="G715" i="1"/>
  <c r="H714" i="1"/>
  <c r="I714" i="1" s="1"/>
  <c r="G714" i="1"/>
  <c r="H713" i="1"/>
  <c r="I713" i="1" s="1"/>
  <c r="G713" i="1"/>
  <c r="H712" i="1"/>
  <c r="I712" i="1" s="1"/>
  <c r="G712" i="1"/>
  <c r="H711" i="1"/>
  <c r="I711" i="1" s="1"/>
  <c r="G711" i="1"/>
  <c r="H710" i="1"/>
  <c r="I710" i="1" s="1"/>
  <c r="G710" i="1"/>
  <c r="H709" i="1"/>
  <c r="I709" i="1" s="1"/>
  <c r="G709" i="1"/>
  <c r="H708" i="1"/>
  <c r="I708" i="1" s="1"/>
  <c r="G708" i="1"/>
  <c r="H707" i="1"/>
  <c r="I707" i="1" s="1"/>
  <c r="G707" i="1"/>
  <c r="H706" i="1"/>
  <c r="I706" i="1" s="1"/>
  <c r="G706" i="1"/>
  <c r="H705" i="1"/>
  <c r="I705" i="1" s="1"/>
  <c r="G705" i="1"/>
  <c r="H704" i="1"/>
  <c r="I704" i="1" s="1"/>
  <c r="G704" i="1"/>
  <c r="H703" i="1"/>
  <c r="I703" i="1" s="1"/>
  <c r="G703" i="1"/>
  <c r="H702" i="1"/>
  <c r="I702" i="1" s="1"/>
  <c r="G702" i="1"/>
  <c r="H701" i="1"/>
  <c r="I701" i="1" s="1"/>
  <c r="G701" i="1"/>
  <c r="H700" i="1"/>
  <c r="I700" i="1" s="1"/>
  <c r="G700" i="1"/>
  <c r="H698" i="1"/>
  <c r="I698" i="1" s="1"/>
  <c r="G698" i="1"/>
  <c r="H697" i="1"/>
  <c r="I697" i="1" s="1"/>
  <c r="G697" i="1"/>
  <c r="H696" i="1"/>
  <c r="I696" i="1" s="1"/>
  <c r="G696" i="1"/>
  <c r="H695" i="1"/>
  <c r="I695" i="1" s="1"/>
  <c r="G695" i="1"/>
  <c r="H694" i="1"/>
  <c r="I694" i="1" s="1"/>
  <c r="G694" i="1"/>
  <c r="H693" i="1"/>
  <c r="I693" i="1" s="1"/>
  <c r="G693" i="1"/>
  <c r="H692" i="1"/>
  <c r="I692" i="1" s="1"/>
  <c r="G692" i="1"/>
  <c r="H691" i="1"/>
  <c r="I691" i="1" s="1"/>
  <c r="G691" i="1"/>
  <c r="H690" i="1"/>
  <c r="I690" i="1" s="1"/>
  <c r="G690" i="1"/>
  <c r="H689" i="1"/>
  <c r="I689" i="1" s="1"/>
  <c r="G689" i="1"/>
  <c r="H688" i="1"/>
  <c r="I688" i="1" s="1"/>
  <c r="G688" i="1"/>
  <c r="H687" i="1"/>
  <c r="I687" i="1" s="1"/>
  <c r="G687" i="1"/>
  <c r="H686" i="1"/>
  <c r="I686" i="1" s="1"/>
  <c r="G686" i="1"/>
  <c r="H685" i="1"/>
  <c r="I685" i="1" s="1"/>
  <c r="G685" i="1"/>
  <c r="H684" i="1"/>
  <c r="I684" i="1" s="1"/>
  <c r="G684" i="1"/>
  <c r="H683" i="1"/>
  <c r="I683" i="1" s="1"/>
  <c r="G683" i="1"/>
  <c r="H682" i="1"/>
  <c r="I682" i="1" s="1"/>
  <c r="G682" i="1"/>
  <c r="H680" i="1"/>
  <c r="I680" i="1" s="1"/>
  <c r="G680" i="1"/>
  <c r="H679" i="1"/>
  <c r="I679" i="1" s="1"/>
  <c r="G679" i="1"/>
  <c r="H678" i="1"/>
  <c r="I678" i="1" s="1"/>
  <c r="G678" i="1"/>
  <c r="H677" i="1"/>
  <c r="I677" i="1" s="1"/>
  <c r="G677" i="1"/>
  <c r="H676" i="1"/>
  <c r="I676" i="1" s="1"/>
  <c r="G676" i="1"/>
  <c r="H675" i="1"/>
  <c r="I675" i="1" s="1"/>
  <c r="G675" i="1"/>
  <c r="H674" i="1"/>
  <c r="I674" i="1" s="1"/>
  <c r="G674" i="1"/>
  <c r="H673" i="1"/>
  <c r="I673" i="1" s="1"/>
  <c r="G673" i="1"/>
  <c r="H672" i="1"/>
  <c r="I672" i="1" s="1"/>
  <c r="G672" i="1"/>
  <c r="H671" i="1"/>
  <c r="I671" i="1" s="1"/>
  <c r="G671" i="1"/>
  <c r="H670" i="1"/>
  <c r="I670" i="1" s="1"/>
  <c r="G670" i="1"/>
  <c r="H669" i="1"/>
  <c r="I669" i="1" s="1"/>
  <c r="G669" i="1"/>
  <c r="H668" i="1"/>
  <c r="I668" i="1" s="1"/>
  <c r="G668" i="1"/>
  <c r="H667" i="1"/>
  <c r="I667" i="1" s="1"/>
  <c r="G667" i="1"/>
  <c r="H666" i="1"/>
  <c r="I666" i="1" s="1"/>
  <c r="G666" i="1"/>
  <c r="H665" i="1"/>
  <c r="I665" i="1" s="1"/>
  <c r="G665" i="1"/>
  <c r="H662" i="1"/>
  <c r="I662" i="1" s="1"/>
  <c r="G662" i="1"/>
  <c r="H661" i="1"/>
  <c r="I661" i="1" s="1"/>
  <c r="G661" i="1"/>
  <c r="H659" i="1"/>
  <c r="I659" i="1" s="1"/>
  <c r="I658" i="1" s="1"/>
  <c r="G659" i="1"/>
  <c r="G658" i="1" s="1"/>
  <c r="H657" i="1"/>
  <c r="I657" i="1" s="1"/>
  <c r="G657" i="1"/>
  <c r="H656" i="1"/>
  <c r="I656" i="1" s="1"/>
  <c r="G656" i="1"/>
  <c r="H653" i="1"/>
  <c r="I653" i="1" s="1"/>
  <c r="G653" i="1"/>
  <c r="H652" i="1"/>
  <c r="I652" i="1" s="1"/>
  <c r="G652" i="1"/>
  <c r="H651" i="1"/>
  <c r="I651" i="1" s="1"/>
  <c r="G651" i="1"/>
  <c r="H650" i="1"/>
  <c r="I650" i="1" s="1"/>
  <c r="G650" i="1"/>
  <c r="H649" i="1"/>
  <c r="I649" i="1" s="1"/>
  <c r="G649" i="1"/>
  <c r="H648" i="1"/>
  <c r="I648" i="1" s="1"/>
  <c r="G648" i="1"/>
  <c r="H647" i="1"/>
  <c r="I647" i="1" s="1"/>
  <c r="G647" i="1"/>
  <c r="H646" i="1"/>
  <c r="I646" i="1" s="1"/>
  <c r="G646" i="1"/>
  <c r="H645" i="1"/>
  <c r="I645" i="1" s="1"/>
  <c r="G645" i="1"/>
  <c r="H643" i="1"/>
  <c r="I643" i="1" s="1"/>
  <c r="G643" i="1"/>
  <c r="H642" i="1"/>
  <c r="I642" i="1" s="1"/>
  <c r="G642" i="1"/>
  <c r="H641" i="1"/>
  <c r="I641" i="1" s="1"/>
  <c r="G641" i="1"/>
  <c r="H640" i="1"/>
  <c r="I640" i="1" s="1"/>
  <c r="G640" i="1"/>
  <c r="H639" i="1"/>
  <c r="I639" i="1" s="1"/>
  <c r="G639" i="1"/>
  <c r="H638" i="1"/>
  <c r="I638" i="1" s="1"/>
  <c r="G638" i="1"/>
  <c r="H637" i="1"/>
  <c r="I637" i="1" s="1"/>
  <c r="G637" i="1"/>
  <c r="H636" i="1"/>
  <c r="I636" i="1" s="1"/>
  <c r="G636" i="1"/>
  <c r="H635" i="1"/>
  <c r="I635" i="1" s="1"/>
  <c r="G635" i="1"/>
  <c r="H634" i="1"/>
  <c r="I634" i="1" s="1"/>
  <c r="G634" i="1"/>
  <c r="H633" i="1"/>
  <c r="I633" i="1" s="1"/>
  <c r="G633" i="1"/>
  <c r="H632" i="1"/>
  <c r="I632" i="1" s="1"/>
  <c r="G632" i="1"/>
  <c r="H631" i="1"/>
  <c r="I631" i="1" s="1"/>
  <c r="G631" i="1"/>
  <c r="H629" i="1"/>
  <c r="I629" i="1" s="1"/>
  <c r="G629" i="1"/>
  <c r="H628" i="1"/>
  <c r="I628" i="1" s="1"/>
  <c r="G628" i="1"/>
  <c r="H627" i="1"/>
  <c r="I627" i="1" s="1"/>
  <c r="G627" i="1"/>
  <c r="H626" i="1"/>
  <c r="I626" i="1" s="1"/>
  <c r="G626" i="1"/>
  <c r="H625" i="1"/>
  <c r="I625" i="1" s="1"/>
  <c r="G625" i="1"/>
  <c r="H622" i="1"/>
  <c r="I622" i="1" s="1"/>
  <c r="G622" i="1"/>
  <c r="H621" i="1"/>
  <c r="I621" i="1" s="1"/>
  <c r="G621" i="1"/>
  <c r="H620" i="1"/>
  <c r="I620" i="1" s="1"/>
  <c r="G620" i="1"/>
  <c r="H619" i="1"/>
  <c r="I619" i="1" s="1"/>
  <c r="G619" i="1"/>
  <c r="H618" i="1"/>
  <c r="I618" i="1" s="1"/>
  <c r="G618" i="1"/>
  <c r="H617" i="1"/>
  <c r="I617" i="1" s="1"/>
  <c r="G617" i="1"/>
  <c r="H616" i="1"/>
  <c r="I616" i="1" s="1"/>
  <c r="G616" i="1"/>
  <c r="H615" i="1"/>
  <c r="I615" i="1" s="1"/>
  <c r="G615" i="1"/>
  <c r="H614" i="1"/>
  <c r="I614" i="1" s="1"/>
  <c r="G614" i="1"/>
  <c r="H613" i="1"/>
  <c r="I613" i="1" s="1"/>
  <c r="G613" i="1"/>
  <c r="H612" i="1"/>
  <c r="I612" i="1" s="1"/>
  <c r="G612" i="1"/>
  <c r="H611" i="1"/>
  <c r="I611" i="1" s="1"/>
  <c r="G611" i="1"/>
  <c r="H610" i="1"/>
  <c r="I610" i="1" s="1"/>
  <c r="G610" i="1"/>
  <c r="H609" i="1"/>
  <c r="I609" i="1" s="1"/>
  <c r="G609" i="1"/>
  <c r="H608" i="1"/>
  <c r="I608" i="1" s="1"/>
  <c r="G608" i="1"/>
  <c r="H607" i="1"/>
  <c r="I607" i="1" s="1"/>
  <c r="G607" i="1"/>
  <c r="H606" i="1"/>
  <c r="I606" i="1" s="1"/>
  <c r="G606" i="1"/>
  <c r="H605" i="1"/>
  <c r="I605" i="1" s="1"/>
  <c r="G605" i="1"/>
  <c r="H603" i="1"/>
  <c r="I603" i="1" s="1"/>
  <c r="G603" i="1"/>
  <c r="H602" i="1"/>
  <c r="I602" i="1" s="1"/>
  <c r="G602" i="1"/>
  <c r="H600" i="1"/>
  <c r="I600" i="1" s="1"/>
  <c r="I599" i="1" s="1"/>
  <c r="G600" i="1"/>
  <c r="G599" i="1" s="1"/>
  <c r="H597" i="1"/>
  <c r="I597" i="1" s="1"/>
  <c r="G597" i="1"/>
  <c r="H596" i="1"/>
  <c r="I596" i="1" s="1"/>
  <c r="G596" i="1"/>
  <c r="H595" i="1"/>
  <c r="I595" i="1" s="1"/>
  <c r="G595" i="1"/>
  <c r="H594" i="1"/>
  <c r="I594" i="1" s="1"/>
  <c r="G594" i="1"/>
  <c r="H593" i="1"/>
  <c r="I593" i="1" s="1"/>
  <c r="G593" i="1"/>
  <c r="H592" i="1"/>
  <c r="I592" i="1" s="1"/>
  <c r="G592" i="1"/>
  <c r="H589" i="1"/>
  <c r="I589" i="1" s="1"/>
  <c r="G589" i="1"/>
  <c r="H588" i="1"/>
  <c r="I588" i="1" s="1"/>
  <c r="G588" i="1"/>
  <c r="H587" i="1"/>
  <c r="I587" i="1" s="1"/>
  <c r="G587" i="1"/>
  <c r="H586" i="1"/>
  <c r="I586" i="1" s="1"/>
  <c r="G586" i="1"/>
  <c r="H584" i="1"/>
  <c r="I584" i="1" s="1"/>
  <c r="G584" i="1"/>
  <c r="H583" i="1"/>
  <c r="I583" i="1" s="1"/>
  <c r="G583" i="1"/>
  <c r="H581" i="1"/>
  <c r="I581" i="1" s="1"/>
  <c r="G581" i="1"/>
  <c r="H580" i="1"/>
  <c r="I580" i="1" s="1"/>
  <c r="G580" i="1"/>
  <c r="H579" i="1"/>
  <c r="G579" i="1"/>
  <c r="H576" i="1"/>
  <c r="I576" i="1" s="1"/>
  <c r="G576" i="1"/>
  <c r="H575" i="1"/>
  <c r="I575" i="1" s="1"/>
  <c r="G575" i="1"/>
  <c r="H574" i="1"/>
  <c r="I574" i="1" s="1"/>
  <c r="G574" i="1"/>
  <c r="H573" i="1"/>
  <c r="I573" i="1" s="1"/>
  <c r="G573" i="1"/>
  <c r="H572" i="1"/>
  <c r="I572" i="1" s="1"/>
  <c r="G572" i="1"/>
  <c r="H571" i="1"/>
  <c r="I571" i="1" s="1"/>
  <c r="G571" i="1"/>
  <c r="H570" i="1"/>
  <c r="I570" i="1" s="1"/>
  <c r="G570" i="1"/>
  <c r="H569" i="1"/>
  <c r="I569" i="1" s="1"/>
  <c r="G569" i="1"/>
  <c r="H568" i="1"/>
  <c r="I568" i="1" s="1"/>
  <c r="G568" i="1"/>
  <c r="H567" i="1"/>
  <c r="I567" i="1" s="1"/>
  <c r="G567" i="1"/>
  <c r="H566" i="1"/>
  <c r="I566" i="1" s="1"/>
  <c r="G566" i="1"/>
  <c r="H565" i="1"/>
  <c r="I565" i="1" s="1"/>
  <c r="G565" i="1"/>
  <c r="H563" i="1"/>
  <c r="I563" i="1" s="1"/>
  <c r="G563" i="1"/>
  <c r="H562" i="1"/>
  <c r="I562" i="1" s="1"/>
  <c r="G562" i="1"/>
  <c r="H561" i="1"/>
  <c r="I561" i="1" s="1"/>
  <c r="G561" i="1"/>
  <c r="H560" i="1"/>
  <c r="I560" i="1" s="1"/>
  <c r="G560" i="1"/>
  <c r="H559" i="1"/>
  <c r="I559" i="1" s="1"/>
  <c r="G559" i="1"/>
  <c r="H558" i="1"/>
  <c r="I558" i="1" s="1"/>
  <c r="G558" i="1"/>
  <c r="H557" i="1"/>
  <c r="I557" i="1" s="1"/>
  <c r="G557" i="1"/>
  <c r="H556" i="1"/>
  <c r="I556" i="1" s="1"/>
  <c r="G556" i="1"/>
  <c r="H555" i="1"/>
  <c r="I555" i="1" s="1"/>
  <c r="G555" i="1"/>
  <c r="H554" i="1"/>
  <c r="I554" i="1" s="1"/>
  <c r="G554" i="1"/>
  <c r="H553" i="1"/>
  <c r="I553" i="1" s="1"/>
  <c r="G553" i="1"/>
  <c r="H552" i="1"/>
  <c r="I552" i="1" s="1"/>
  <c r="G552" i="1"/>
  <c r="H551" i="1"/>
  <c r="I551" i="1" s="1"/>
  <c r="G551" i="1"/>
  <c r="H550" i="1"/>
  <c r="I550" i="1" s="1"/>
  <c r="G550" i="1"/>
  <c r="H549" i="1"/>
  <c r="I549" i="1" s="1"/>
  <c r="G549" i="1"/>
  <c r="H548" i="1"/>
  <c r="G548" i="1"/>
  <c r="H547" i="1"/>
  <c r="I547" i="1" s="1"/>
  <c r="G547" i="1"/>
  <c r="H546" i="1"/>
  <c r="G546" i="1"/>
  <c r="H544" i="1"/>
  <c r="G544" i="1"/>
  <c r="H543" i="1"/>
  <c r="I543" i="1" s="1"/>
  <c r="G543" i="1"/>
  <c r="H542" i="1"/>
  <c r="I542" i="1" s="1"/>
  <c r="G542" i="1"/>
  <c r="H541" i="1"/>
  <c r="G541" i="1"/>
  <c r="H540" i="1"/>
  <c r="G540" i="1"/>
  <c r="H539" i="1"/>
  <c r="G539" i="1"/>
  <c r="H538" i="1"/>
  <c r="I538" i="1" s="1"/>
  <c r="G538" i="1"/>
  <c r="H537" i="1"/>
  <c r="I537" i="1" s="1"/>
  <c r="G537" i="1"/>
  <c r="H536" i="1"/>
  <c r="I536" i="1" s="1"/>
  <c r="G536" i="1"/>
  <c r="H535" i="1"/>
  <c r="G535" i="1"/>
  <c r="H532" i="1"/>
  <c r="I532" i="1" s="1"/>
  <c r="G532" i="1"/>
  <c r="H531" i="1"/>
  <c r="I531" i="1" s="1"/>
  <c r="G531" i="1"/>
  <c r="H530" i="1"/>
  <c r="I530" i="1" s="1"/>
  <c r="G530" i="1"/>
  <c r="H529" i="1"/>
  <c r="I529" i="1" s="1"/>
  <c r="G529" i="1"/>
  <c r="H528" i="1"/>
  <c r="I528" i="1" s="1"/>
  <c r="G528" i="1"/>
  <c r="H527" i="1"/>
  <c r="I527" i="1" s="1"/>
  <c r="G527" i="1"/>
  <c r="H526" i="1"/>
  <c r="G526" i="1"/>
  <c r="H525" i="1"/>
  <c r="G525" i="1"/>
  <c r="H524" i="1"/>
  <c r="G524" i="1"/>
  <c r="H523" i="1"/>
  <c r="I523" i="1" s="1"/>
  <c r="G523" i="1"/>
  <c r="H522" i="1"/>
  <c r="I522" i="1" s="1"/>
  <c r="G522" i="1"/>
  <c r="H521" i="1"/>
  <c r="I521" i="1" s="1"/>
  <c r="G521" i="1"/>
  <c r="H520" i="1"/>
  <c r="I520" i="1" s="1"/>
  <c r="G520" i="1"/>
  <c r="H519" i="1"/>
  <c r="G519" i="1"/>
  <c r="H518" i="1"/>
  <c r="I518" i="1" s="1"/>
  <c r="G518" i="1"/>
  <c r="H517" i="1"/>
  <c r="I517" i="1" s="1"/>
  <c r="G517" i="1"/>
  <c r="H516" i="1"/>
  <c r="G516" i="1"/>
  <c r="H515" i="1"/>
  <c r="G515" i="1"/>
  <c r="H514" i="1"/>
  <c r="I514" i="1" s="1"/>
  <c r="G514" i="1"/>
  <c r="H512" i="1"/>
  <c r="I512" i="1" s="1"/>
  <c r="G512" i="1"/>
  <c r="H511" i="1"/>
  <c r="I511" i="1" s="1"/>
  <c r="G511" i="1"/>
  <c r="H510" i="1"/>
  <c r="I510" i="1" s="1"/>
  <c r="G510" i="1"/>
  <c r="H509" i="1"/>
  <c r="I509" i="1" s="1"/>
  <c r="G509" i="1"/>
  <c r="H507" i="1"/>
  <c r="I507" i="1" s="1"/>
  <c r="I506" i="1" s="1"/>
  <c r="G507" i="1"/>
  <c r="G506" i="1" s="1"/>
  <c r="H504" i="1"/>
  <c r="I504" i="1" s="1"/>
  <c r="G504" i="1"/>
  <c r="H503" i="1"/>
  <c r="I503" i="1" s="1"/>
  <c r="G503" i="1"/>
  <c r="H502" i="1"/>
  <c r="I502" i="1" s="1"/>
  <c r="G502" i="1"/>
  <c r="H501" i="1"/>
  <c r="I501" i="1" s="1"/>
  <c r="G501" i="1"/>
  <c r="H500" i="1"/>
  <c r="I500" i="1" s="1"/>
  <c r="G500" i="1"/>
  <c r="H499" i="1"/>
  <c r="I499" i="1" s="1"/>
  <c r="G499" i="1"/>
  <c r="H498" i="1"/>
  <c r="G498" i="1"/>
  <c r="H497" i="1"/>
  <c r="I497" i="1" s="1"/>
  <c r="G497" i="1"/>
  <c r="H496" i="1"/>
  <c r="I496" i="1" s="1"/>
  <c r="G496" i="1"/>
  <c r="H495" i="1"/>
  <c r="I495" i="1" s="1"/>
  <c r="G495" i="1"/>
  <c r="H494" i="1"/>
  <c r="I494" i="1" s="1"/>
  <c r="G494" i="1"/>
  <c r="H493" i="1"/>
  <c r="I493" i="1" s="1"/>
  <c r="G493" i="1"/>
  <c r="H489" i="1"/>
  <c r="I489" i="1" s="1"/>
  <c r="G489" i="1"/>
  <c r="H488" i="1"/>
  <c r="I488" i="1" s="1"/>
  <c r="G488" i="1"/>
  <c r="H486" i="1"/>
  <c r="I486" i="1" s="1"/>
  <c r="G486" i="1"/>
  <c r="H485" i="1"/>
  <c r="I485" i="1" s="1"/>
  <c r="G485" i="1"/>
  <c r="H484" i="1"/>
  <c r="I484" i="1" s="1"/>
  <c r="G484" i="1"/>
  <c r="H483" i="1"/>
  <c r="I483" i="1" s="1"/>
  <c r="G483" i="1"/>
  <c r="H482" i="1"/>
  <c r="I482" i="1" s="1"/>
  <c r="G482" i="1"/>
  <c r="H481" i="1"/>
  <c r="I481" i="1" s="1"/>
  <c r="G481" i="1"/>
  <c r="H480" i="1"/>
  <c r="I480" i="1" s="1"/>
  <c r="G480" i="1"/>
  <c r="H479" i="1"/>
  <c r="I479" i="1" s="1"/>
  <c r="G479" i="1"/>
  <c r="H478" i="1"/>
  <c r="I478" i="1" s="1"/>
  <c r="G478" i="1"/>
  <c r="H477" i="1"/>
  <c r="I477" i="1" s="1"/>
  <c r="G477" i="1"/>
  <c r="H475" i="1"/>
  <c r="I475" i="1" s="1"/>
  <c r="G475" i="1"/>
  <c r="H474" i="1"/>
  <c r="I474" i="1" s="1"/>
  <c r="G474" i="1"/>
  <c r="H473" i="1"/>
  <c r="I473" i="1" s="1"/>
  <c r="G473" i="1"/>
  <c r="H472" i="1"/>
  <c r="I472" i="1" s="1"/>
  <c r="G472" i="1"/>
  <c r="H471" i="1"/>
  <c r="I471" i="1" s="1"/>
  <c r="G471" i="1"/>
  <c r="H470" i="1"/>
  <c r="I470" i="1" s="1"/>
  <c r="G470" i="1"/>
  <c r="H469" i="1"/>
  <c r="I469" i="1" s="1"/>
  <c r="G469" i="1"/>
  <c r="H468" i="1"/>
  <c r="I468" i="1" s="1"/>
  <c r="G468" i="1"/>
  <c r="H467" i="1"/>
  <c r="I467" i="1" s="1"/>
  <c r="G467" i="1"/>
  <c r="H466" i="1"/>
  <c r="I466" i="1" s="1"/>
  <c r="G466" i="1"/>
  <c r="H465" i="1"/>
  <c r="I465" i="1" s="1"/>
  <c r="G465" i="1"/>
  <c r="H464" i="1"/>
  <c r="I464" i="1" s="1"/>
  <c r="G464" i="1"/>
  <c r="H462" i="1"/>
  <c r="D39" i="2" s="1"/>
  <c r="F39" i="2" s="1"/>
  <c r="G462" i="1"/>
  <c r="H461" i="1"/>
  <c r="G461" i="1"/>
  <c r="H460" i="1"/>
  <c r="I460" i="1" s="1"/>
  <c r="G460" i="1"/>
  <c r="H459" i="1"/>
  <c r="I459" i="1" s="1"/>
  <c r="G459" i="1"/>
  <c r="H458" i="1"/>
  <c r="I458" i="1" s="1"/>
  <c r="G458" i="1"/>
  <c r="H457" i="1"/>
  <c r="I457" i="1" s="1"/>
  <c r="G457" i="1"/>
  <c r="H456" i="1"/>
  <c r="I456" i="1" s="1"/>
  <c r="G456" i="1"/>
  <c r="H455" i="1"/>
  <c r="I455" i="1" s="1"/>
  <c r="G455" i="1"/>
  <c r="H454" i="1"/>
  <c r="I454" i="1" s="1"/>
  <c r="G454" i="1"/>
  <c r="H453" i="1"/>
  <c r="I453" i="1" s="1"/>
  <c r="G453" i="1"/>
  <c r="H452" i="1"/>
  <c r="G452" i="1"/>
  <c r="H451" i="1"/>
  <c r="G451" i="1"/>
  <c r="H450" i="1"/>
  <c r="I450" i="1" s="1"/>
  <c r="G450" i="1"/>
  <c r="H449" i="1"/>
  <c r="G449" i="1"/>
  <c r="H448" i="1"/>
  <c r="G448" i="1"/>
  <c r="H447" i="1"/>
  <c r="I447" i="1" s="1"/>
  <c r="G447" i="1"/>
  <c r="H446" i="1"/>
  <c r="I446" i="1" s="1"/>
  <c r="G446" i="1"/>
  <c r="H445" i="1"/>
  <c r="I445" i="1" s="1"/>
  <c r="G445" i="1"/>
  <c r="H444" i="1"/>
  <c r="I444" i="1" s="1"/>
  <c r="G444" i="1"/>
  <c r="H443" i="1"/>
  <c r="I443" i="1" s="1"/>
  <c r="G443" i="1"/>
  <c r="H442" i="1"/>
  <c r="I442" i="1" s="1"/>
  <c r="G442" i="1"/>
  <c r="H441" i="1"/>
  <c r="I441" i="1" s="1"/>
  <c r="G441" i="1"/>
  <c r="H440" i="1"/>
  <c r="G440" i="1"/>
  <c r="H439" i="1"/>
  <c r="I439" i="1" s="1"/>
  <c r="G439" i="1"/>
  <c r="H438" i="1"/>
  <c r="G438" i="1"/>
  <c r="H437" i="1"/>
  <c r="I437" i="1" s="1"/>
  <c r="G437" i="1"/>
  <c r="H436" i="1"/>
  <c r="I436" i="1" s="1"/>
  <c r="G436" i="1"/>
  <c r="H435" i="1"/>
  <c r="I435" i="1" s="1"/>
  <c r="G435" i="1"/>
  <c r="H434" i="1"/>
  <c r="I434" i="1" s="1"/>
  <c r="G434" i="1"/>
  <c r="H433" i="1"/>
  <c r="G433" i="1"/>
  <c r="H432" i="1"/>
  <c r="G432" i="1"/>
  <c r="H431" i="1"/>
  <c r="I431" i="1" s="1"/>
  <c r="G431" i="1"/>
  <c r="H430" i="1"/>
  <c r="I430" i="1" s="1"/>
  <c r="G430" i="1"/>
  <c r="H429" i="1"/>
  <c r="I429" i="1" s="1"/>
  <c r="G429" i="1"/>
  <c r="H428" i="1"/>
  <c r="I428" i="1" s="1"/>
  <c r="G428" i="1"/>
  <c r="H427" i="1"/>
  <c r="I427" i="1" s="1"/>
  <c r="G427" i="1"/>
  <c r="H426" i="1"/>
  <c r="I426" i="1" s="1"/>
  <c r="G426" i="1"/>
  <c r="H425" i="1"/>
  <c r="I425" i="1" s="1"/>
  <c r="G425" i="1"/>
  <c r="H424" i="1"/>
  <c r="I424" i="1" s="1"/>
  <c r="G424" i="1"/>
  <c r="H423" i="1"/>
  <c r="I423" i="1" s="1"/>
  <c r="G423" i="1"/>
  <c r="H422" i="1"/>
  <c r="I422" i="1" s="1"/>
  <c r="G422" i="1"/>
  <c r="H421" i="1"/>
  <c r="I421" i="1" s="1"/>
  <c r="G421" i="1"/>
  <c r="H420" i="1"/>
  <c r="I420" i="1" s="1"/>
  <c r="G420" i="1"/>
  <c r="H419" i="1"/>
  <c r="G419" i="1"/>
  <c r="H417" i="1"/>
  <c r="I417" i="1" s="1"/>
  <c r="G417" i="1"/>
  <c r="H416" i="1"/>
  <c r="I416" i="1" s="1"/>
  <c r="G416" i="1"/>
  <c r="H415" i="1"/>
  <c r="I415" i="1" s="1"/>
  <c r="G415" i="1"/>
  <c r="H414" i="1"/>
  <c r="I414" i="1" s="1"/>
  <c r="G414" i="1"/>
  <c r="H413" i="1"/>
  <c r="I413" i="1" s="1"/>
  <c r="G413" i="1"/>
  <c r="H412" i="1"/>
  <c r="I412" i="1" s="1"/>
  <c r="G412" i="1"/>
  <c r="H411" i="1"/>
  <c r="G411" i="1"/>
  <c r="H410" i="1"/>
  <c r="G410" i="1"/>
  <c r="H409" i="1"/>
  <c r="G409" i="1"/>
  <c r="H408" i="1"/>
  <c r="I408" i="1" s="1"/>
  <c r="G408" i="1"/>
  <c r="H407" i="1"/>
  <c r="I407" i="1" s="1"/>
  <c r="G407" i="1"/>
  <c r="H406" i="1"/>
  <c r="I406" i="1" s="1"/>
  <c r="G406" i="1"/>
  <c r="H405" i="1"/>
  <c r="I405" i="1" s="1"/>
  <c r="G405" i="1"/>
  <c r="H404" i="1"/>
  <c r="G404" i="1"/>
  <c r="H403" i="1"/>
  <c r="I403" i="1" s="1"/>
  <c r="G403" i="1"/>
  <c r="H402" i="1"/>
  <c r="I402" i="1" s="1"/>
  <c r="G402" i="1"/>
  <c r="H401" i="1"/>
  <c r="G401" i="1"/>
  <c r="H400" i="1"/>
  <c r="I400" i="1" s="1"/>
  <c r="G400" i="1"/>
  <c r="H399" i="1"/>
  <c r="I399" i="1" s="1"/>
  <c r="G399" i="1"/>
  <c r="H398" i="1"/>
  <c r="I398" i="1" s="1"/>
  <c r="G398" i="1"/>
  <c r="H397" i="1"/>
  <c r="I397" i="1" s="1"/>
  <c r="G397" i="1"/>
  <c r="H396" i="1"/>
  <c r="I396" i="1" s="1"/>
  <c r="G396" i="1"/>
  <c r="H395" i="1"/>
  <c r="I395" i="1" s="1"/>
  <c r="G395" i="1"/>
  <c r="H394" i="1"/>
  <c r="I394" i="1" s="1"/>
  <c r="G394" i="1"/>
  <c r="H393" i="1"/>
  <c r="I393" i="1" s="1"/>
  <c r="G393" i="1"/>
  <c r="H392" i="1"/>
  <c r="I392" i="1" s="1"/>
  <c r="G392" i="1"/>
  <c r="H391" i="1"/>
  <c r="I391" i="1" s="1"/>
  <c r="G391" i="1"/>
  <c r="H390" i="1"/>
  <c r="I390" i="1" s="1"/>
  <c r="G390" i="1"/>
  <c r="H389" i="1"/>
  <c r="G389" i="1"/>
  <c r="H388" i="1"/>
  <c r="I388" i="1" s="1"/>
  <c r="G388" i="1"/>
  <c r="H387" i="1"/>
  <c r="I387" i="1" s="1"/>
  <c r="G387" i="1"/>
  <c r="H386" i="1"/>
  <c r="G386" i="1"/>
  <c r="H385" i="1"/>
  <c r="I385" i="1" s="1"/>
  <c r="G385" i="1"/>
  <c r="H384" i="1"/>
  <c r="I384" i="1" s="1"/>
  <c r="G384" i="1"/>
  <c r="H383" i="1"/>
  <c r="I383" i="1" s="1"/>
  <c r="G383" i="1"/>
  <c r="H382" i="1"/>
  <c r="I382" i="1" s="1"/>
  <c r="G382" i="1"/>
  <c r="H381" i="1"/>
  <c r="I381" i="1" s="1"/>
  <c r="G381" i="1"/>
  <c r="H380" i="1"/>
  <c r="I380" i="1" s="1"/>
  <c r="G380" i="1"/>
  <c r="H379" i="1"/>
  <c r="I379" i="1" s="1"/>
  <c r="G379" i="1"/>
  <c r="H378" i="1"/>
  <c r="I378" i="1" s="1"/>
  <c r="G378" i="1"/>
  <c r="H377" i="1"/>
  <c r="G377" i="1"/>
  <c r="H375" i="1"/>
  <c r="I375" i="1" s="1"/>
  <c r="G375" i="1"/>
  <c r="H374" i="1"/>
  <c r="I374" i="1" s="1"/>
  <c r="G374" i="1"/>
  <c r="H373" i="1"/>
  <c r="I373" i="1" s="1"/>
  <c r="G373" i="1"/>
  <c r="H372" i="1"/>
  <c r="I372" i="1" s="1"/>
  <c r="G372" i="1"/>
  <c r="H371" i="1"/>
  <c r="I371" i="1" s="1"/>
  <c r="G371" i="1"/>
  <c r="H370" i="1"/>
  <c r="I370" i="1" s="1"/>
  <c r="G370" i="1"/>
  <c r="H369" i="1"/>
  <c r="I369" i="1" s="1"/>
  <c r="G369" i="1"/>
  <c r="H368" i="1"/>
  <c r="I368" i="1" s="1"/>
  <c r="G368" i="1"/>
  <c r="H367" i="1"/>
  <c r="I367" i="1" s="1"/>
  <c r="G367" i="1"/>
  <c r="H366" i="1"/>
  <c r="I366" i="1" s="1"/>
  <c r="G366" i="1"/>
  <c r="H365" i="1"/>
  <c r="I365" i="1" s="1"/>
  <c r="G365" i="1"/>
  <c r="H364" i="1"/>
  <c r="I364" i="1" s="1"/>
  <c r="G364" i="1"/>
  <c r="H363" i="1"/>
  <c r="I363" i="1" s="1"/>
  <c r="G363" i="1"/>
  <c r="H362" i="1"/>
  <c r="I362" i="1" s="1"/>
  <c r="G362" i="1"/>
  <c r="H361" i="1"/>
  <c r="I361" i="1" s="1"/>
  <c r="G361" i="1"/>
  <c r="H360" i="1"/>
  <c r="I360" i="1" s="1"/>
  <c r="G360" i="1"/>
  <c r="H359" i="1"/>
  <c r="I359" i="1" s="1"/>
  <c r="G359" i="1"/>
  <c r="H358" i="1"/>
  <c r="G358" i="1"/>
  <c r="H357" i="1"/>
  <c r="I357" i="1" s="1"/>
  <c r="G357" i="1"/>
  <c r="H356" i="1"/>
  <c r="I356" i="1" s="1"/>
  <c r="G356" i="1"/>
  <c r="H355" i="1"/>
  <c r="I355" i="1" s="1"/>
  <c r="G355" i="1"/>
  <c r="H354" i="1"/>
  <c r="I354" i="1" s="1"/>
  <c r="G354" i="1"/>
  <c r="H353" i="1"/>
  <c r="I353" i="1" s="1"/>
  <c r="G353" i="1"/>
  <c r="H352" i="1"/>
  <c r="I352" i="1" s="1"/>
  <c r="G352" i="1"/>
  <c r="H351" i="1"/>
  <c r="I351" i="1" s="1"/>
  <c r="G351" i="1"/>
  <c r="H350" i="1"/>
  <c r="I350" i="1" s="1"/>
  <c r="G350" i="1"/>
  <c r="H349" i="1"/>
  <c r="G349" i="1"/>
  <c r="H348" i="1"/>
  <c r="I348" i="1" s="1"/>
  <c r="G348" i="1"/>
  <c r="H347" i="1"/>
  <c r="I347" i="1" s="1"/>
  <c r="G347" i="1"/>
  <c r="H346" i="1"/>
  <c r="I346" i="1" s="1"/>
  <c r="G346" i="1"/>
  <c r="H345" i="1"/>
  <c r="G345" i="1"/>
  <c r="H344" i="1"/>
  <c r="F30" i="2" s="1"/>
  <c r="G344" i="1"/>
  <c r="H343" i="1"/>
  <c r="I343" i="1" s="1"/>
  <c r="G343" i="1"/>
  <c r="H342" i="1"/>
  <c r="I342" i="1" s="1"/>
  <c r="G342" i="1"/>
  <c r="H341" i="1"/>
  <c r="I341" i="1" s="1"/>
  <c r="G341" i="1"/>
  <c r="H340" i="1"/>
  <c r="G340" i="1"/>
  <c r="H339" i="1"/>
  <c r="G339" i="1"/>
  <c r="H338" i="1"/>
  <c r="G338" i="1"/>
  <c r="H337" i="1"/>
  <c r="I337" i="1" s="1"/>
  <c r="G337" i="1"/>
  <c r="H336" i="1"/>
  <c r="G336" i="1"/>
  <c r="H335" i="1"/>
  <c r="I335" i="1" s="1"/>
  <c r="G335" i="1"/>
  <c r="H334" i="1"/>
  <c r="I334" i="1" s="1"/>
  <c r="G334" i="1"/>
  <c r="H333" i="1"/>
  <c r="I333" i="1" s="1"/>
  <c r="G333" i="1"/>
  <c r="H332" i="1"/>
  <c r="G332" i="1"/>
  <c r="H331" i="1"/>
  <c r="I331" i="1" s="1"/>
  <c r="G331" i="1"/>
  <c r="H330" i="1"/>
  <c r="I330" i="1" s="1"/>
  <c r="G330" i="1"/>
  <c r="H329" i="1"/>
  <c r="I329" i="1" s="1"/>
  <c r="G329" i="1"/>
  <c r="H328" i="1"/>
  <c r="I328" i="1" s="1"/>
  <c r="G328" i="1"/>
  <c r="H327" i="1"/>
  <c r="I327" i="1" s="1"/>
  <c r="G327" i="1"/>
  <c r="H326" i="1"/>
  <c r="I326" i="1" s="1"/>
  <c r="G326" i="1"/>
  <c r="H325" i="1"/>
  <c r="I325" i="1" s="1"/>
  <c r="G325" i="1"/>
  <c r="H323" i="1"/>
  <c r="I323" i="1" s="1"/>
  <c r="G323" i="1"/>
  <c r="H322" i="1"/>
  <c r="I322" i="1" s="1"/>
  <c r="G322" i="1"/>
  <c r="H321" i="1"/>
  <c r="I321" i="1" s="1"/>
  <c r="G321" i="1"/>
  <c r="H320" i="1"/>
  <c r="I320" i="1" s="1"/>
  <c r="G320" i="1"/>
  <c r="H319" i="1"/>
  <c r="I319" i="1" s="1"/>
  <c r="G319" i="1"/>
  <c r="H318" i="1"/>
  <c r="I318" i="1" s="1"/>
  <c r="G318" i="1"/>
  <c r="H317" i="1"/>
  <c r="I317" i="1" s="1"/>
  <c r="G317" i="1"/>
  <c r="H316" i="1"/>
  <c r="I316" i="1" s="1"/>
  <c r="G316" i="1"/>
  <c r="H315" i="1"/>
  <c r="I315" i="1" s="1"/>
  <c r="G315" i="1"/>
  <c r="H314" i="1"/>
  <c r="I314" i="1" s="1"/>
  <c r="G314" i="1"/>
  <c r="H313" i="1"/>
  <c r="I313" i="1" s="1"/>
  <c r="G313" i="1"/>
  <c r="H312" i="1"/>
  <c r="I312" i="1" s="1"/>
  <c r="G312" i="1"/>
  <c r="H311" i="1"/>
  <c r="I311" i="1" s="1"/>
  <c r="G311" i="1"/>
  <c r="H310" i="1"/>
  <c r="I310" i="1" s="1"/>
  <c r="G310" i="1"/>
  <c r="H309" i="1"/>
  <c r="I309" i="1" s="1"/>
  <c r="G309" i="1"/>
  <c r="H308" i="1"/>
  <c r="I308" i="1" s="1"/>
  <c r="G308" i="1"/>
  <c r="H307" i="1"/>
  <c r="I307" i="1" s="1"/>
  <c r="G307" i="1"/>
  <c r="H306" i="1"/>
  <c r="I306" i="1" s="1"/>
  <c r="G306" i="1"/>
  <c r="H305" i="1"/>
  <c r="I305" i="1" s="1"/>
  <c r="G305" i="1"/>
  <c r="H304" i="1"/>
  <c r="I304" i="1" s="1"/>
  <c r="G304" i="1"/>
  <c r="H303" i="1"/>
  <c r="I303" i="1" s="1"/>
  <c r="G303" i="1"/>
  <c r="H302" i="1"/>
  <c r="I302" i="1" s="1"/>
  <c r="G302" i="1"/>
  <c r="H301" i="1"/>
  <c r="I301" i="1" s="1"/>
  <c r="G301" i="1"/>
  <c r="H300" i="1"/>
  <c r="I300" i="1" s="1"/>
  <c r="G300" i="1"/>
  <c r="H299" i="1"/>
  <c r="I299" i="1" s="1"/>
  <c r="G299" i="1"/>
  <c r="H298" i="1"/>
  <c r="I298" i="1" s="1"/>
  <c r="G298" i="1"/>
  <c r="H297" i="1"/>
  <c r="I297" i="1" s="1"/>
  <c r="G297" i="1"/>
  <c r="H296" i="1"/>
  <c r="I296" i="1" s="1"/>
  <c r="G296" i="1"/>
  <c r="H295" i="1"/>
  <c r="I295" i="1" s="1"/>
  <c r="G295" i="1"/>
  <c r="H294" i="1"/>
  <c r="I294" i="1" s="1"/>
  <c r="G294" i="1"/>
  <c r="H293" i="1"/>
  <c r="I293" i="1" s="1"/>
  <c r="G293" i="1"/>
  <c r="H292" i="1"/>
  <c r="I292" i="1" s="1"/>
  <c r="G292" i="1"/>
  <c r="H291" i="1"/>
  <c r="I291" i="1" s="1"/>
  <c r="G291" i="1"/>
  <c r="H290" i="1"/>
  <c r="I290" i="1" s="1"/>
  <c r="G290" i="1"/>
  <c r="H289" i="1"/>
  <c r="I289" i="1" s="1"/>
  <c r="G289" i="1"/>
  <c r="H288" i="1"/>
  <c r="I288" i="1" s="1"/>
  <c r="G288" i="1"/>
  <c r="H287" i="1"/>
  <c r="I287" i="1" s="1"/>
  <c r="G287" i="1"/>
  <c r="H286" i="1"/>
  <c r="I286" i="1" s="1"/>
  <c r="G286" i="1"/>
  <c r="H285" i="1"/>
  <c r="I285" i="1" s="1"/>
  <c r="G285" i="1"/>
  <c r="H284" i="1"/>
  <c r="I284" i="1" s="1"/>
  <c r="G284" i="1"/>
  <c r="H283" i="1"/>
  <c r="I283" i="1" s="1"/>
  <c r="G283" i="1"/>
  <c r="H282" i="1"/>
  <c r="I282" i="1" s="1"/>
  <c r="G282" i="1"/>
  <c r="H281" i="1"/>
  <c r="I281" i="1" s="1"/>
  <c r="G281" i="1"/>
  <c r="H280" i="1"/>
  <c r="I280" i="1" s="1"/>
  <c r="G280" i="1"/>
  <c r="H279" i="1"/>
  <c r="I279" i="1" s="1"/>
  <c r="G279" i="1"/>
  <c r="H278" i="1"/>
  <c r="I278" i="1" s="1"/>
  <c r="G278" i="1"/>
  <c r="H277" i="1"/>
  <c r="I277" i="1" s="1"/>
  <c r="G277" i="1"/>
  <c r="H276" i="1"/>
  <c r="I276" i="1" s="1"/>
  <c r="G276" i="1"/>
  <c r="H275" i="1"/>
  <c r="I275" i="1" s="1"/>
  <c r="G275" i="1"/>
  <c r="H274" i="1"/>
  <c r="I274" i="1" s="1"/>
  <c r="G274" i="1"/>
  <c r="H273" i="1"/>
  <c r="I273" i="1" s="1"/>
  <c r="G273" i="1"/>
  <c r="H272" i="1"/>
  <c r="I272" i="1" s="1"/>
  <c r="G272" i="1"/>
  <c r="H271" i="1"/>
  <c r="I271" i="1" s="1"/>
  <c r="G271" i="1"/>
  <c r="H270" i="1"/>
  <c r="I270" i="1" s="1"/>
  <c r="G270" i="1"/>
  <c r="H269" i="1"/>
  <c r="I269" i="1" s="1"/>
  <c r="G269" i="1"/>
  <c r="H268" i="1"/>
  <c r="I268" i="1" s="1"/>
  <c r="G268" i="1"/>
  <c r="H267" i="1"/>
  <c r="I267" i="1" s="1"/>
  <c r="G267" i="1"/>
  <c r="H266" i="1"/>
  <c r="I266" i="1" s="1"/>
  <c r="G266" i="1"/>
  <c r="H265" i="1"/>
  <c r="I265" i="1" s="1"/>
  <c r="G265" i="1"/>
  <c r="H264" i="1"/>
  <c r="I264" i="1" s="1"/>
  <c r="G264" i="1"/>
  <c r="H263" i="1"/>
  <c r="I263" i="1" s="1"/>
  <c r="G263" i="1"/>
  <c r="H261" i="1"/>
  <c r="I261" i="1" s="1"/>
  <c r="G261" i="1"/>
  <c r="H260" i="1"/>
  <c r="I260" i="1" s="1"/>
  <c r="G260" i="1"/>
  <c r="H259" i="1"/>
  <c r="I259" i="1" s="1"/>
  <c r="G259" i="1"/>
  <c r="H258" i="1"/>
  <c r="I258" i="1" s="1"/>
  <c r="G258" i="1"/>
  <c r="H257" i="1"/>
  <c r="I257" i="1" s="1"/>
  <c r="G257" i="1"/>
  <c r="H256" i="1"/>
  <c r="I256" i="1" s="1"/>
  <c r="G256" i="1"/>
  <c r="H255" i="1"/>
  <c r="I255" i="1" s="1"/>
  <c r="G255" i="1"/>
  <c r="H254" i="1"/>
  <c r="I254" i="1" s="1"/>
  <c r="G254" i="1"/>
  <c r="H253" i="1"/>
  <c r="I253" i="1" s="1"/>
  <c r="G253" i="1"/>
  <c r="H252" i="1"/>
  <c r="I252" i="1" s="1"/>
  <c r="G252" i="1"/>
  <c r="H251" i="1"/>
  <c r="I251" i="1" s="1"/>
  <c r="G251" i="1"/>
  <c r="H250" i="1"/>
  <c r="I250" i="1" s="1"/>
  <c r="G250" i="1"/>
  <c r="H249" i="1"/>
  <c r="I249" i="1" s="1"/>
  <c r="G249" i="1"/>
  <c r="H248" i="1"/>
  <c r="I248" i="1" s="1"/>
  <c r="G248" i="1"/>
  <c r="H247" i="1"/>
  <c r="I247" i="1" s="1"/>
  <c r="G247" i="1"/>
  <c r="H246" i="1"/>
  <c r="I246" i="1" s="1"/>
  <c r="G246" i="1"/>
  <c r="H245" i="1"/>
  <c r="I245" i="1" s="1"/>
  <c r="G245" i="1"/>
  <c r="H244" i="1"/>
  <c r="G244" i="1"/>
  <c r="H243" i="1"/>
  <c r="I243" i="1" s="1"/>
  <c r="G243" i="1"/>
  <c r="H242" i="1"/>
  <c r="G242" i="1"/>
  <c r="H241" i="1"/>
  <c r="D45" i="2" s="1"/>
  <c r="G241" i="1"/>
  <c r="H240" i="1"/>
  <c r="G240" i="1"/>
  <c r="H239" i="1"/>
  <c r="G239" i="1"/>
  <c r="H238" i="1"/>
  <c r="I238" i="1" s="1"/>
  <c r="G238" i="1"/>
  <c r="H237" i="1"/>
  <c r="I237" i="1" s="1"/>
  <c r="G237" i="1"/>
  <c r="H236" i="1"/>
  <c r="I236" i="1" s="1"/>
  <c r="G236" i="1"/>
  <c r="H235" i="1"/>
  <c r="I235" i="1" s="1"/>
  <c r="G235" i="1"/>
  <c r="H234" i="1"/>
  <c r="I234" i="1" s="1"/>
  <c r="G234" i="1"/>
  <c r="H233" i="1"/>
  <c r="I233" i="1" s="1"/>
  <c r="G233" i="1"/>
  <c r="H232" i="1"/>
  <c r="I232" i="1" s="1"/>
  <c r="G232" i="1"/>
  <c r="H231" i="1"/>
  <c r="I231" i="1" s="1"/>
  <c r="G231" i="1"/>
  <c r="H230" i="1"/>
  <c r="I230" i="1" s="1"/>
  <c r="G230" i="1"/>
  <c r="H229" i="1"/>
  <c r="I229" i="1" s="1"/>
  <c r="G229" i="1"/>
  <c r="H228" i="1"/>
  <c r="I228" i="1" s="1"/>
  <c r="G228" i="1"/>
  <c r="H226" i="1"/>
  <c r="G226" i="1"/>
  <c r="H225" i="1"/>
  <c r="I225" i="1" s="1"/>
  <c r="G225" i="1"/>
  <c r="H224" i="1"/>
  <c r="I224" i="1" s="1"/>
  <c r="G224" i="1"/>
  <c r="H223" i="1"/>
  <c r="G223" i="1"/>
  <c r="H222" i="1"/>
  <c r="I222" i="1" s="1"/>
  <c r="G222" i="1"/>
  <c r="H221" i="1"/>
  <c r="I221" i="1" s="1"/>
  <c r="G221" i="1"/>
  <c r="H220" i="1"/>
  <c r="I220" i="1" s="1"/>
  <c r="G220" i="1"/>
  <c r="H219" i="1"/>
  <c r="G219" i="1"/>
  <c r="H218" i="1"/>
  <c r="I218" i="1" s="1"/>
  <c r="G218" i="1"/>
  <c r="H217" i="1"/>
  <c r="G217" i="1"/>
  <c r="H216" i="1"/>
  <c r="I216" i="1" s="1"/>
  <c r="G216" i="1"/>
  <c r="H215" i="1"/>
  <c r="I215" i="1" s="1"/>
  <c r="G215" i="1"/>
  <c r="H214" i="1"/>
  <c r="I214" i="1" s="1"/>
  <c r="G214" i="1"/>
  <c r="H213" i="1"/>
  <c r="G213" i="1"/>
  <c r="H212" i="1"/>
  <c r="I212" i="1" s="1"/>
  <c r="G212" i="1"/>
  <c r="H211" i="1"/>
  <c r="I211" i="1" s="1"/>
  <c r="G211" i="1"/>
  <c r="H210" i="1"/>
  <c r="I210" i="1" s="1"/>
  <c r="G210" i="1"/>
  <c r="H209" i="1"/>
  <c r="I209" i="1" s="1"/>
  <c r="G209" i="1"/>
  <c r="H208" i="1"/>
  <c r="G208" i="1"/>
  <c r="H207" i="1"/>
  <c r="I207" i="1" s="1"/>
  <c r="G207" i="1"/>
  <c r="H206" i="1"/>
  <c r="I206" i="1" s="1"/>
  <c r="G206" i="1"/>
  <c r="H205" i="1"/>
  <c r="I205" i="1" s="1"/>
  <c r="G205" i="1"/>
  <c r="H203" i="1"/>
  <c r="I203" i="1" s="1"/>
  <c r="G203" i="1"/>
  <c r="H202" i="1"/>
  <c r="I202" i="1" s="1"/>
  <c r="G202" i="1"/>
  <c r="H201" i="1"/>
  <c r="I201" i="1" s="1"/>
  <c r="G201" i="1"/>
  <c r="H200" i="1"/>
  <c r="I200" i="1" s="1"/>
  <c r="G200" i="1"/>
  <c r="H199" i="1"/>
  <c r="I199" i="1" s="1"/>
  <c r="G199" i="1"/>
  <c r="H198" i="1"/>
  <c r="I198" i="1" s="1"/>
  <c r="G198" i="1"/>
  <c r="H197" i="1"/>
  <c r="I197" i="1" s="1"/>
  <c r="G197" i="1"/>
  <c r="H196" i="1"/>
  <c r="I196" i="1" s="1"/>
  <c r="G196" i="1"/>
  <c r="H195" i="1"/>
  <c r="I195" i="1" s="1"/>
  <c r="G195" i="1"/>
  <c r="H194" i="1"/>
  <c r="I194" i="1" s="1"/>
  <c r="G194" i="1"/>
  <c r="H193" i="1"/>
  <c r="I193" i="1" s="1"/>
  <c r="G193" i="1"/>
  <c r="H192" i="1"/>
  <c r="I192" i="1" s="1"/>
  <c r="G192" i="1"/>
  <c r="H191" i="1"/>
  <c r="I191" i="1" s="1"/>
  <c r="G191" i="1"/>
  <c r="H190" i="1"/>
  <c r="I190" i="1" s="1"/>
  <c r="G190" i="1"/>
  <c r="H189" i="1"/>
  <c r="I189" i="1" s="1"/>
  <c r="G189" i="1"/>
  <c r="H188" i="1"/>
  <c r="I188" i="1" s="1"/>
  <c r="G188" i="1"/>
  <c r="H187" i="1"/>
  <c r="G187" i="1"/>
  <c r="H186" i="1"/>
  <c r="I186" i="1" s="1"/>
  <c r="G186" i="1"/>
  <c r="H185" i="1"/>
  <c r="I185" i="1" s="1"/>
  <c r="G185" i="1"/>
  <c r="H184" i="1"/>
  <c r="I184" i="1" s="1"/>
  <c r="G184" i="1"/>
  <c r="H183" i="1"/>
  <c r="G183" i="1"/>
  <c r="H182" i="1"/>
  <c r="I182" i="1" s="1"/>
  <c r="G182" i="1"/>
  <c r="H181" i="1"/>
  <c r="I181" i="1" s="1"/>
  <c r="G181" i="1"/>
  <c r="H180" i="1"/>
  <c r="I180" i="1" s="1"/>
  <c r="G180" i="1"/>
  <c r="H178" i="1"/>
  <c r="I178" i="1" s="1"/>
  <c r="G178" i="1"/>
  <c r="H177" i="1"/>
  <c r="I177" i="1" s="1"/>
  <c r="G177" i="1"/>
  <c r="H176" i="1"/>
  <c r="I176" i="1" s="1"/>
  <c r="G176" i="1"/>
  <c r="H175" i="1"/>
  <c r="I175" i="1" s="1"/>
  <c r="G175" i="1"/>
  <c r="H174" i="1"/>
  <c r="I174" i="1" s="1"/>
  <c r="G174" i="1"/>
  <c r="H173" i="1"/>
  <c r="I173" i="1" s="1"/>
  <c r="G173" i="1"/>
  <c r="H172" i="1"/>
  <c r="I172" i="1" s="1"/>
  <c r="G172" i="1"/>
  <c r="H171" i="1"/>
  <c r="I171" i="1" s="1"/>
  <c r="G171" i="1"/>
  <c r="H170" i="1"/>
  <c r="I170" i="1" s="1"/>
  <c r="G170" i="1"/>
  <c r="H169" i="1"/>
  <c r="I169" i="1" s="1"/>
  <c r="G169" i="1"/>
  <c r="H168" i="1"/>
  <c r="I168" i="1" s="1"/>
  <c r="G168" i="1"/>
  <c r="H167" i="1"/>
  <c r="I167" i="1" s="1"/>
  <c r="G167" i="1"/>
  <c r="H166" i="1"/>
  <c r="I166" i="1" s="1"/>
  <c r="G166" i="1"/>
  <c r="H165" i="1"/>
  <c r="I165" i="1" s="1"/>
  <c r="G165" i="1"/>
  <c r="H164" i="1"/>
  <c r="I164" i="1" s="1"/>
  <c r="G164" i="1"/>
  <c r="H163" i="1"/>
  <c r="I163" i="1" s="1"/>
  <c r="G163" i="1"/>
  <c r="H162" i="1"/>
  <c r="I162" i="1" s="1"/>
  <c r="G162" i="1"/>
  <c r="H161" i="1"/>
  <c r="I161" i="1" s="1"/>
  <c r="G161" i="1"/>
  <c r="H160" i="1"/>
  <c r="I160" i="1" s="1"/>
  <c r="G160" i="1"/>
  <c r="H159" i="1"/>
  <c r="I159" i="1" s="1"/>
  <c r="G159" i="1"/>
  <c r="H158" i="1"/>
  <c r="I158" i="1" s="1"/>
  <c r="G158" i="1"/>
  <c r="H157" i="1"/>
  <c r="I157" i="1" s="1"/>
  <c r="G157" i="1"/>
  <c r="H156" i="1"/>
  <c r="I156" i="1" s="1"/>
  <c r="G156" i="1"/>
  <c r="H155" i="1"/>
  <c r="I155" i="1" s="1"/>
  <c r="G155" i="1"/>
  <c r="H154" i="1"/>
  <c r="I154" i="1" s="1"/>
  <c r="G154" i="1"/>
  <c r="H153" i="1"/>
  <c r="I153" i="1" s="1"/>
  <c r="G153" i="1"/>
  <c r="H152" i="1"/>
  <c r="I152" i="1" s="1"/>
  <c r="G152" i="1"/>
  <c r="H151" i="1"/>
  <c r="I151" i="1" s="1"/>
  <c r="G151" i="1"/>
  <c r="H150" i="1"/>
  <c r="I150" i="1" s="1"/>
  <c r="G150" i="1"/>
  <c r="H149" i="1"/>
  <c r="I149" i="1" s="1"/>
  <c r="G149" i="1"/>
  <c r="H147" i="1"/>
  <c r="I147" i="1" s="1"/>
  <c r="G147" i="1"/>
  <c r="H146" i="1"/>
  <c r="I146" i="1" s="1"/>
  <c r="G146" i="1"/>
  <c r="H145" i="1"/>
  <c r="I145" i="1" s="1"/>
  <c r="G145" i="1"/>
  <c r="H144" i="1"/>
  <c r="I144" i="1" s="1"/>
  <c r="G144" i="1"/>
  <c r="H143" i="1"/>
  <c r="G143" i="1"/>
  <c r="H142" i="1"/>
  <c r="I142" i="1" s="1"/>
  <c r="G142" i="1"/>
  <c r="H141" i="1"/>
  <c r="I141" i="1" s="1"/>
  <c r="G141" i="1"/>
  <c r="H140" i="1"/>
  <c r="I140" i="1" s="1"/>
  <c r="G140" i="1"/>
  <c r="H139" i="1"/>
  <c r="I139" i="1" s="1"/>
  <c r="G139" i="1"/>
  <c r="H138" i="1"/>
  <c r="I138" i="1" s="1"/>
  <c r="G138" i="1"/>
  <c r="H137" i="1"/>
  <c r="I137" i="1" s="1"/>
  <c r="G137" i="1"/>
  <c r="H136" i="1"/>
  <c r="I136" i="1" s="1"/>
  <c r="G136" i="1"/>
  <c r="H135" i="1"/>
  <c r="I135" i="1" s="1"/>
  <c r="G135" i="1"/>
  <c r="H134" i="1"/>
  <c r="I134" i="1" s="1"/>
  <c r="G134" i="1"/>
  <c r="H133" i="1"/>
  <c r="I133" i="1" s="1"/>
  <c r="G133" i="1"/>
  <c r="H132" i="1"/>
  <c r="I132" i="1" s="1"/>
  <c r="G132" i="1"/>
  <c r="H131" i="1"/>
  <c r="I131" i="1" s="1"/>
  <c r="G131" i="1"/>
  <c r="H130" i="1"/>
  <c r="I130" i="1" s="1"/>
  <c r="G130" i="1"/>
  <c r="H129" i="1"/>
  <c r="I129" i="1" s="1"/>
  <c r="G129" i="1"/>
  <c r="H128" i="1"/>
  <c r="G128" i="1"/>
  <c r="H127" i="1"/>
  <c r="I127" i="1" s="1"/>
  <c r="G127" i="1"/>
  <c r="H126" i="1"/>
  <c r="I126" i="1" s="1"/>
  <c r="G126" i="1"/>
  <c r="H125" i="1"/>
  <c r="I125" i="1" s="1"/>
  <c r="G125" i="1"/>
  <c r="H124" i="1"/>
  <c r="I124" i="1" s="1"/>
  <c r="G124" i="1"/>
  <c r="H123" i="1"/>
  <c r="I123" i="1" s="1"/>
  <c r="G123" i="1"/>
  <c r="H122" i="1"/>
  <c r="I122" i="1" s="1"/>
  <c r="G122" i="1"/>
  <c r="H121" i="1"/>
  <c r="G121" i="1"/>
  <c r="H120" i="1"/>
  <c r="I120" i="1" s="1"/>
  <c r="G120" i="1"/>
  <c r="H119" i="1"/>
  <c r="I119" i="1" s="1"/>
  <c r="G119" i="1"/>
  <c r="H118" i="1"/>
  <c r="I118" i="1" s="1"/>
  <c r="G118" i="1"/>
  <c r="H117" i="1"/>
  <c r="I117" i="1" s="1"/>
  <c r="G117" i="1"/>
  <c r="H115" i="1"/>
  <c r="I115" i="1" s="1"/>
  <c r="G115" i="1"/>
  <c r="H114" i="1"/>
  <c r="I114" i="1" s="1"/>
  <c r="G114" i="1"/>
  <c r="H113" i="1"/>
  <c r="I113" i="1" s="1"/>
  <c r="G113" i="1"/>
  <c r="H112" i="1"/>
  <c r="I112" i="1" s="1"/>
  <c r="G112" i="1"/>
  <c r="H111" i="1"/>
  <c r="I111" i="1" s="1"/>
  <c r="G111" i="1"/>
  <c r="H110" i="1"/>
  <c r="I110" i="1" s="1"/>
  <c r="G110" i="1"/>
  <c r="H109" i="1"/>
  <c r="I109" i="1" s="1"/>
  <c r="G109" i="1"/>
  <c r="H108" i="1"/>
  <c r="I108" i="1" s="1"/>
  <c r="G108" i="1"/>
  <c r="H107" i="1"/>
  <c r="I107" i="1" s="1"/>
  <c r="G107" i="1"/>
  <c r="H106" i="1"/>
  <c r="I106" i="1" s="1"/>
  <c r="G106" i="1"/>
  <c r="H105" i="1"/>
  <c r="I105" i="1" s="1"/>
  <c r="G105" i="1"/>
  <c r="H104" i="1"/>
  <c r="I104" i="1" s="1"/>
  <c r="G104" i="1"/>
  <c r="H103" i="1"/>
  <c r="I103" i="1" s="1"/>
  <c r="G103" i="1"/>
  <c r="H102" i="1"/>
  <c r="I102" i="1" s="1"/>
  <c r="G102" i="1"/>
  <c r="H101" i="1"/>
  <c r="G101" i="1"/>
  <c r="H100" i="1"/>
  <c r="I100" i="1" s="1"/>
  <c r="G100" i="1"/>
  <c r="H99" i="1"/>
  <c r="I99" i="1" s="1"/>
  <c r="G99" i="1"/>
  <c r="H98" i="1"/>
  <c r="I98" i="1" s="1"/>
  <c r="G98" i="1"/>
  <c r="H97" i="1"/>
  <c r="I97" i="1" s="1"/>
  <c r="G97" i="1"/>
  <c r="H94" i="1"/>
  <c r="I94" i="1" s="1"/>
  <c r="G94" i="1"/>
  <c r="H93" i="1"/>
  <c r="I93" i="1" s="1"/>
  <c r="G93" i="1"/>
  <c r="H92" i="1"/>
  <c r="I92" i="1" s="1"/>
  <c r="G92" i="1"/>
  <c r="H91" i="1"/>
  <c r="I91" i="1" s="1"/>
  <c r="G91" i="1"/>
  <c r="H90" i="1"/>
  <c r="I90" i="1" s="1"/>
  <c r="G90" i="1"/>
  <c r="H89" i="1"/>
  <c r="I89" i="1" s="1"/>
  <c r="G89" i="1"/>
  <c r="H88" i="1"/>
  <c r="I88" i="1" s="1"/>
  <c r="G88" i="1"/>
  <c r="H87" i="1"/>
  <c r="I87" i="1" s="1"/>
  <c r="G87" i="1"/>
  <c r="H86" i="1"/>
  <c r="I86" i="1" s="1"/>
  <c r="G86" i="1"/>
  <c r="H85" i="1"/>
  <c r="I85" i="1" s="1"/>
  <c r="G85" i="1"/>
  <c r="H84" i="1"/>
  <c r="G84" i="1"/>
  <c r="H83" i="1"/>
  <c r="I83" i="1" s="1"/>
  <c r="G83" i="1"/>
  <c r="H82" i="1"/>
  <c r="I82" i="1" s="1"/>
  <c r="G82" i="1"/>
  <c r="H79" i="1"/>
  <c r="G79" i="1"/>
  <c r="H78" i="1"/>
  <c r="G78" i="1"/>
  <c r="H77" i="1"/>
  <c r="I77" i="1" s="1"/>
  <c r="G77" i="1"/>
  <c r="H76" i="1"/>
  <c r="I76" i="1" s="1"/>
  <c r="G76" i="1"/>
  <c r="H75" i="1"/>
  <c r="I75" i="1" s="1"/>
  <c r="G75" i="1"/>
  <c r="H74" i="1"/>
  <c r="I74" i="1" s="1"/>
  <c r="G74" i="1"/>
  <c r="H73" i="1"/>
  <c r="I73" i="1" s="1"/>
  <c r="G73" i="1"/>
  <c r="H72" i="1"/>
  <c r="I72" i="1" s="1"/>
  <c r="G72" i="1"/>
  <c r="H71" i="1"/>
  <c r="L13" i="2" s="1"/>
  <c r="G71" i="1"/>
  <c r="H70" i="1"/>
  <c r="I70" i="1" s="1"/>
  <c r="G70" i="1"/>
  <c r="H69" i="1"/>
  <c r="I69" i="1" s="1"/>
  <c r="G69" i="1"/>
  <c r="H68" i="1"/>
  <c r="G68" i="1"/>
  <c r="H67" i="1"/>
  <c r="I67" i="1" s="1"/>
  <c r="G67" i="1"/>
  <c r="H66" i="1"/>
  <c r="I66" i="1" s="1"/>
  <c r="G66" i="1"/>
  <c r="H65" i="1"/>
  <c r="I65" i="1" s="1"/>
  <c r="G65" i="1"/>
  <c r="H64" i="1"/>
  <c r="G64" i="1"/>
  <c r="H63" i="1"/>
  <c r="I63" i="1" s="1"/>
  <c r="G63" i="1"/>
  <c r="H62" i="1"/>
  <c r="I62" i="1" s="1"/>
  <c r="G62" i="1"/>
  <c r="H61" i="1"/>
  <c r="I61" i="1" s="1"/>
  <c r="G61" i="1"/>
  <c r="H60" i="1"/>
  <c r="I60" i="1" s="1"/>
  <c r="G60" i="1"/>
  <c r="H59" i="1"/>
  <c r="I59" i="1" s="1"/>
  <c r="G59" i="1"/>
  <c r="H58" i="1"/>
  <c r="I58" i="1" s="1"/>
  <c r="G58" i="1"/>
  <c r="H57" i="1"/>
  <c r="I57" i="1" s="1"/>
  <c r="G57" i="1"/>
  <c r="H56" i="1"/>
  <c r="I56" i="1" s="1"/>
  <c r="G56" i="1"/>
  <c r="H55" i="1"/>
  <c r="G55" i="1"/>
  <c r="H54" i="1"/>
  <c r="I54" i="1" s="1"/>
  <c r="G54" i="1"/>
  <c r="H53" i="1"/>
  <c r="I53" i="1" s="1"/>
  <c r="G53" i="1"/>
  <c r="H52" i="1"/>
  <c r="I52" i="1" s="1"/>
  <c r="G52" i="1"/>
  <c r="H51" i="1"/>
  <c r="I51" i="1" s="1"/>
  <c r="G51" i="1"/>
  <c r="H50" i="1"/>
  <c r="I50" i="1" s="1"/>
  <c r="G50" i="1"/>
  <c r="H49" i="1"/>
  <c r="I49" i="1" s="1"/>
  <c r="G49" i="1"/>
  <c r="H48" i="1"/>
  <c r="I48" i="1" s="1"/>
  <c r="G48" i="1"/>
  <c r="H47" i="1"/>
  <c r="I47" i="1" s="1"/>
  <c r="G47" i="1"/>
  <c r="H46" i="1"/>
  <c r="I46" i="1" s="1"/>
  <c r="G46" i="1"/>
  <c r="H45" i="1"/>
  <c r="I45" i="1" s="1"/>
  <c r="G45" i="1"/>
  <c r="H44" i="1"/>
  <c r="I44" i="1" s="1"/>
  <c r="G44" i="1"/>
  <c r="H43" i="1"/>
  <c r="I43" i="1" s="1"/>
  <c r="G43" i="1"/>
  <c r="H42" i="1"/>
  <c r="I42" i="1" s="1"/>
  <c r="G42" i="1"/>
  <c r="H41" i="1"/>
  <c r="I41" i="1" s="1"/>
  <c r="G41" i="1"/>
  <c r="H40" i="1"/>
  <c r="I40" i="1" s="1"/>
  <c r="G40" i="1"/>
  <c r="H39" i="1"/>
  <c r="I39" i="1" s="1"/>
  <c r="G39" i="1"/>
  <c r="H38" i="1"/>
  <c r="I38" i="1" s="1"/>
  <c r="G38" i="1"/>
  <c r="H37" i="1"/>
  <c r="I37" i="1" s="1"/>
  <c r="G37" i="1"/>
  <c r="H36" i="1"/>
  <c r="I36" i="1" s="1"/>
  <c r="G36" i="1"/>
  <c r="H35" i="1"/>
  <c r="I35" i="1" s="1"/>
  <c r="G35" i="1"/>
  <c r="H34" i="1"/>
  <c r="I34" i="1" s="1"/>
  <c r="G34" i="1"/>
  <c r="H33" i="1"/>
  <c r="I33" i="1" s="1"/>
  <c r="G33" i="1"/>
  <c r="H32" i="1"/>
  <c r="I32" i="1" s="1"/>
  <c r="G32" i="1"/>
  <c r="H31" i="1"/>
  <c r="I31" i="1" s="1"/>
  <c r="G31" i="1"/>
  <c r="H30" i="1"/>
  <c r="I30" i="1" s="1"/>
  <c r="G30" i="1"/>
  <c r="H29" i="1"/>
  <c r="I29" i="1" s="1"/>
  <c r="G29" i="1"/>
  <c r="H28" i="1"/>
  <c r="I28" i="1" s="1"/>
  <c r="G28" i="1"/>
  <c r="H27" i="1"/>
  <c r="I27" i="1" s="1"/>
  <c r="G27" i="1"/>
  <c r="H26" i="1"/>
  <c r="I26" i="1" s="1"/>
  <c r="G26" i="1"/>
  <c r="H25" i="1"/>
  <c r="I25" i="1" s="1"/>
  <c r="G25" i="1"/>
  <c r="H24" i="1"/>
  <c r="I24" i="1" s="1"/>
  <c r="G24" i="1"/>
  <c r="H23" i="1"/>
  <c r="I23" i="1" s="1"/>
  <c r="G23" i="1"/>
  <c r="H22" i="1"/>
  <c r="I22" i="1" s="1"/>
  <c r="G22" i="1"/>
  <c r="H21" i="1"/>
  <c r="I21" i="1" s="1"/>
  <c r="G21" i="1"/>
  <c r="H20" i="1"/>
  <c r="I20" i="1" s="1"/>
  <c r="G20" i="1"/>
  <c r="H19" i="1"/>
  <c r="I19" i="1" s="1"/>
  <c r="G19" i="1"/>
  <c r="H18" i="1"/>
  <c r="I18" i="1" s="1"/>
  <c r="G18" i="1"/>
  <c r="H17" i="1"/>
  <c r="I17" i="1" s="1"/>
  <c r="G17" i="1"/>
  <c r="H16" i="1"/>
  <c r="I16" i="1" s="1"/>
  <c r="G16" i="1"/>
  <c r="H15" i="1"/>
  <c r="I15" i="1" s="1"/>
  <c r="G15" i="1"/>
  <c r="H14" i="1"/>
  <c r="I14" i="1" s="1"/>
  <c r="G14" i="1"/>
  <c r="H13" i="1"/>
  <c r="I13" i="1" s="1"/>
  <c r="G13" i="1"/>
  <c r="H12" i="1"/>
  <c r="I12" i="1" s="1"/>
  <c r="G12" i="1"/>
  <c r="H11" i="1"/>
  <c r="I11" i="1" s="1"/>
  <c r="G11" i="1"/>
  <c r="H10" i="1"/>
  <c r="I10" i="1" s="1"/>
  <c r="G10" i="1"/>
  <c r="H9" i="1"/>
  <c r="I9" i="1" s="1"/>
  <c r="G9" i="1"/>
  <c r="H8" i="1"/>
  <c r="I8" i="1" s="1"/>
  <c r="G8" i="1"/>
  <c r="H7" i="1"/>
  <c r="I7" i="1" s="1"/>
  <c r="G7" i="1"/>
  <c r="J45" i="2" l="1"/>
  <c r="L45" i="2"/>
  <c r="L46" i="2"/>
  <c r="H13" i="2"/>
  <c r="J13" i="2"/>
  <c r="H46" i="2"/>
  <c r="F45" i="2"/>
  <c r="H45" i="2"/>
  <c r="I461" i="1"/>
  <c r="F60" i="2"/>
  <c r="I462" i="1"/>
  <c r="I338" i="1"/>
  <c r="G487" i="1"/>
  <c r="G725" i="1"/>
  <c r="F51" i="2"/>
  <c r="I410" i="1"/>
  <c r="F47" i="2"/>
  <c r="I516" i="1"/>
  <c r="I524" i="1"/>
  <c r="F43" i="2"/>
  <c r="I349" i="1"/>
  <c r="H31" i="2"/>
  <c r="I525" i="1"/>
  <c r="I535" i="1"/>
  <c r="I539" i="1"/>
  <c r="I548" i="1"/>
  <c r="I579" i="1"/>
  <c r="I578" i="1" s="1"/>
  <c r="I336" i="1"/>
  <c r="D29" i="2"/>
  <c r="I240" i="1"/>
  <c r="L44" i="2"/>
  <c r="I498" i="1"/>
  <c r="I492" i="1" s="1"/>
  <c r="I526" i="1"/>
  <c r="I544" i="1"/>
  <c r="I515" i="1"/>
  <c r="I519" i="1"/>
  <c r="I541" i="1"/>
  <c r="I546" i="1"/>
  <c r="I755" i="1"/>
  <c r="I540" i="1"/>
  <c r="F50" i="2"/>
  <c r="I84" i="1"/>
  <c r="I81" i="1" s="1"/>
  <c r="I244" i="1"/>
  <c r="G786" i="1"/>
  <c r="G847" i="1"/>
  <c r="I239" i="1"/>
  <c r="G743" i="1"/>
  <c r="G769" i="1"/>
  <c r="G850" i="1"/>
  <c r="I241" i="1"/>
  <c r="I766" i="1"/>
  <c r="I242" i="1"/>
  <c r="I332" i="1"/>
  <c r="I440" i="1"/>
  <c r="I64" i="1"/>
  <c r="I128" i="1"/>
  <c r="I219" i="1"/>
  <c r="I433" i="1"/>
  <c r="I121" i="1"/>
  <c r="I183" i="1"/>
  <c r="G376" i="1"/>
  <c r="G827" i="1"/>
  <c r="G841" i="1"/>
  <c r="I101" i="1"/>
  <c r="I96" i="1" s="1"/>
  <c r="I213" i="1"/>
  <c r="I217" i="1"/>
  <c r="I340" i="1"/>
  <c r="I344" i="1"/>
  <c r="I377" i="1"/>
  <c r="I389" i="1"/>
  <c r="I401" i="1"/>
  <c r="I409" i="1"/>
  <c r="I438" i="1"/>
  <c r="G582" i="1"/>
  <c r="G660" i="1"/>
  <c r="G699" i="1"/>
  <c r="G721" i="1"/>
  <c r="I358" i="1"/>
  <c r="I404" i="1"/>
  <c r="I449" i="1"/>
  <c r="G324" i="1"/>
  <c r="I79" i="1"/>
  <c r="I448" i="1"/>
  <c r="I223" i="1"/>
  <c r="I411" i="1"/>
  <c r="I432" i="1"/>
  <c r="I452" i="1"/>
  <c r="I68" i="1"/>
  <c r="I187" i="1"/>
  <c r="I208" i="1"/>
  <c r="I339" i="1"/>
  <c r="G81" i="1"/>
  <c r="I78" i="1"/>
  <c r="I143" i="1"/>
  <c r="I226" i="1"/>
  <c r="I345" i="1"/>
  <c r="I386" i="1"/>
  <c r="I419" i="1"/>
  <c r="I451" i="1"/>
  <c r="G564" i="1"/>
  <c r="I55" i="1"/>
  <c r="I71" i="1"/>
  <c r="G227" i="1"/>
  <c r="G601" i="1"/>
  <c r="G598" i="1" s="1"/>
  <c r="G878" i="1"/>
  <c r="G96" i="1"/>
  <c r="G463" i="1"/>
  <c r="G476" i="1"/>
  <c r="G585" i="1"/>
  <c r="G868" i="1"/>
  <c r="I949" i="1"/>
  <c r="I891" i="1" s="1"/>
  <c r="D23" i="2"/>
  <c r="H23" i="2" s="1"/>
  <c r="G578" i="1"/>
  <c r="G681" i="1"/>
  <c r="G262" i="1"/>
  <c r="G545" i="1"/>
  <c r="G754" i="1"/>
  <c r="G802" i="1"/>
  <c r="G148" i="1"/>
  <c r="G204" i="1"/>
  <c r="G604" i="1"/>
  <c r="G655" i="1"/>
  <c r="G654" i="1" s="1"/>
  <c r="G791" i="1"/>
  <c r="G834" i="1"/>
  <c r="G116" i="1"/>
  <c r="G179" i="1"/>
  <c r="G508" i="1"/>
  <c r="G505" i="1" s="1"/>
  <c r="G591" i="1"/>
  <c r="G644" i="1"/>
  <c r="F13" i="2"/>
  <c r="X3" i="2"/>
  <c r="D20" i="2"/>
  <c r="H20" i="2" s="1"/>
  <c r="D7" i="2"/>
  <c r="H7" i="2" s="1"/>
  <c r="J17" i="2"/>
  <c r="D15" i="2"/>
  <c r="H15" i="2" s="1"/>
  <c r="D27" i="2"/>
  <c r="H27" i="2" s="1"/>
  <c r="D14" i="2"/>
  <c r="H14" i="2" s="1"/>
  <c r="H25" i="2"/>
  <c r="D10" i="2"/>
  <c r="H33" i="2"/>
  <c r="D6" i="2"/>
  <c r="H6" i="2" s="1"/>
  <c r="J36" i="2"/>
  <c r="D8" i="2"/>
  <c r="H8" i="2" s="1"/>
  <c r="L18" i="2"/>
  <c r="L16" i="2"/>
  <c r="D19" i="2"/>
  <c r="H19" i="2" s="1"/>
  <c r="L26" i="2"/>
  <c r="D9" i="2"/>
  <c r="D5" i="2"/>
  <c r="F5" i="2" s="1"/>
  <c r="L12" i="2"/>
  <c r="H5" i="2"/>
  <c r="I655" i="1"/>
  <c r="I654" i="1" s="1"/>
  <c r="I601" i="1"/>
  <c r="I598" i="1" s="1"/>
  <c r="I660" i="1"/>
  <c r="I508" i="1"/>
  <c r="I505" i="1" s="1"/>
  <c r="I834" i="1"/>
  <c r="I487" i="1"/>
  <c r="I827" i="1"/>
  <c r="I463" i="1"/>
  <c r="I582" i="1"/>
  <c r="I728" i="1"/>
  <c r="I847" i="1"/>
  <c r="I743" i="1"/>
  <c r="I850" i="1"/>
  <c r="I725" i="1"/>
  <c r="I591" i="1"/>
  <c r="I585" i="1"/>
  <c r="I802" i="1"/>
  <c r="I604" i="1"/>
  <c r="I630" i="1"/>
  <c r="I148" i="1"/>
  <c r="I262" i="1"/>
  <c r="G418" i="1"/>
  <c r="I564" i="1"/>
  <c r="I681" i="1"/>
  <c r="G821" i="1"/>
  <c r="G860" i="1"/>
  <c r="I664" i="1"/>
  <c r="I841" i="1"/>
  <c r="I769" i="1"/>
  <c r="I786" i="1"/>
  <c r="I821" i="1"/>
  <c r="G891" i="1"/>
  <c r="I860" i="1"/>
  <c r="G534" i="1"/>
  <c r="G624" i="1"/>
  <c r="G630" i="1"/>
  <c r="I699" i="1"/>
  <c r="I878" i="1"/>
  <c r="G513" i="1"/>
  <c r="I476" i="1"/>
  <c r="G492" i="1"/>
  <c r="I644" i="1"/>
  <c r="I721" i="1"/>
  <c r="G728" i="1"/>
  <c r="I791" i="1"/>
  <c r="I868" i="1"/>
  <c r="G952" i="1"/>
  <c r="I624" i="1"/>
  <c r="G664" i="1"/>
  <c r="I952" i="1"/>
  <c r="F46" i="2" l="1"/>
  <c r="L11" i="2"/>
  <c r="J11" i="2"/>
  <c r="H41" i="2"/>
  <c r="J41" i="2"/>
  <c r="H16" i="2"/>
  <c r="J16" i="2"/>
  <c r="H18" i="2"/>
  <c r="J18" i="2"/>
  <c r="H11" i="2"/>
  <c r="F28" i="2"/>
  <c r="J28" i="2"/>
  <c r="H26" i="2"/>
  <c r="J26" i="2"/>
  <c r="F17" i="2"/>
  <c r="H17" i="2"/>
  <c r="H44" i="2"/>
  <c r="J44" i="2"/>
  <c r="H12" i="2"/>
  <c r="J12" i="2"/>
  <c r="H24" i="2"/>
  <c r="J24" i="2"/>
  <c r="I534" i="1"/>
  <c r="I545" i="1"/>
  <c r="F53" i="2"/>
  <c r="F54" i="2"/>
  <c r="F11" i="2"/>
  <c r="F48" i="2"/>
  <c r="I754" i="1"/>
  <c r="I742" i="1" s="1"/>
  <c r="I513" i="1"/>
  <c r="F44" i="2"/>
  <c r="F52" i="2"/>
  <c r="F27" i="2"/>
  <c r="I418" i="1"/>
  <c r="F32" i="2"/>
  <c r="F31" i="2"/>
  <c r="F29" i="2"/>
  <c r="F22" i="2"/>
  <c r="F33" i="2"/>
  <c r="F23" i="2"/>
  <c r="F25" i="2"/>
  <c r="F21" i="2"/>
  <c r="G533" i="1"/>
  <c r="F18" i="2"/>
  <c r="I179" i="1"/>
  <c r="I116" i="1"/>
  <c r="F49" i="2"/>
  <c r="I204" i="1"/>
  <c r="I227" i="1"/>
  <c r="G95" i="1"/>
  <c r="I376" i="1"/>
  <c r="I324" i="1"/>
  <c r="G742" i="1"/>
  <c r="G663" i="1"/>
  <c r="F42" i="2"/>
  <c r="G577" i="1"/>
  <c r="F41" i="2"/>
  <c r="F20" i="2"/>
  <c r="F38" i="2"/>
  <c r="F19" i="2"/>
  <c r="F8" i="2"/>
  <c r="F16" i="2"/>
  <c r="F14" i="2"/>
  <c r="F12" i="2"/>
  <c r="F26" i="2"/>
  <c r="F15" i="2"/>
  <c r="F24" i="2"/>
  <c r="F35" i="2"/>
  <c r="F7" i="2"/>
  <c r="F36" i="2"/>
  <c r="F6" i="2"/>
  <c r="F9" i="2"/>
  <c r="F37" i="2"/>
  <c r="F10" i="2"/>
  <c r="F34" i="2"/>
  <c r="I577" i="1"/>
  <c r="I663" i="1"/>
  <c r="I820" i="1"/>
  <c r="G820" i="1"/>
  <c r="I623" i="1"/>
  <c r="I590" i="1" s="1"/>
  <c r="G623" i="1"/>
  <c r="G590" i="1" s="1"/>
  <c r="I533" i="1" l="1"/>
  <c r="I95" i="1"/>
  <c r="J3" i="2"/>
  <c r="G491" i="1"/>
  <c r="G490" i="1" s="1"/>
  <c r="F80" i="1" s="1"/>
  <c r="G80" i="1" s="1"/>
  <c r="G6" i="1" s="1"/>
  <c r="G5" i="1" s="1"/>
  <c r="L3" i="2"/>
  <c r="I491" i="1"/>
  <c r="I490" i="1" s="1"/>
  <c r="I80" i="1" s="1"/>
  <c r="I6" i="1" s="1"/>
  <c r="I5" i="1" s="1"/>
  <c r="Z3" i="2" l="1"/>
  <c r="AB3" i="2" l="1"/>
  <c r="F2" i="2" l="1"/>
  <c r="H3" i="2"/>
  <c r="P3" i="2"/>
</calcChain>
</file>

<file path=xl/sharedStrings.xml><?xml version="1.0" encoding="utf-8"?>
<sst xmlns="http://schemas.openxmlformats.org/spreadsheetml/2006/main" count="3115" uniqueCount="2009">
  <si>
    <t>LPU - LISTA DE PREÇOS UNITÁRIOS</t>
  </si>
  <si>
    <t>Revisão 4</t>
  </si>
  <si>
    <t>ITEM</t>
  </si>
  <si>
    <t>CÓD.</t>
  </si>
  <si>
    <t>DESCRIÇÃO SIMPLES</t>
  </si>
  <si>
    <t>UN.</t>
  </si>
  <si>
    <t>QUANT.</t>
  </si>
  <si>
    <t>PREÇO UNIT. 
BASE</t>
  </si>
  <si>
    <t>PREÇO TOTAL
BASE</t>
  </si>
  <si>
    <t>PREÇO UNIT.
AJUSTADO</t>
  </si>
  <si>
    <t>PREÇO TOTAL
AJUSTADO</t>
  </si>
  <si>
    <t>INFORMAÇÕES ADICIONAIS</t>
  </si>
  <si>
    <t xml:space="preserve">I </t>
  </si>
  <si>
    <t>OBRAS DIVERSAS</t>
  </si>
  <si>
    <t>TOTAL</t>
  </si>
  <si>
    <t>1.0</t>
  </si>
  <si>
    <t>SERVIÇOS PRELIMINARES - MOBILIZAÇÃO &amp; DESMOBILIZAÇÃO (FATOR "M")</t>
  </si>
  <si>
    <t>SUB. TOTAL</t>
  </si>
  <si>
    <t>1.1</t>
  </si>
  <si>
    <t>MOB / DESMOBILIZACAO LD DE 0 A 50KM LD</t>
  </si>
  <si>
    <t>KM</t>
  </si>
  <si>
    <t>1.2</t>
  </si>
  <si>
    <t>MOB / DESMOBILIZACAO LD DE 51 A 200KM LD</t>
  </si>
  <si>
    <t>1.3</t>
  </si>
  <si>
    <t>MOB/ DESMOBILIZACAO LD ACIMA DE 600KM LD</t>
  </si>
  <si>
    <t>1.4</t>
  </si>
  <si>
    <t>MOB/ DESMOBILIZACAO LD DE 201 A 400KM LD</t>
  </si>
  <si>
    <t>1.5</t>
  </si>
  <si>
    <t>DESMOBIL 0 A 200KM EQP 5H RESIT OHM LD</t>
  </si>
  <si>
    <t>UN</t>
  </si>
  <si>
    <t>1.6</t>
  </si>
  <si>
    <t>DESMOBIL 0 A 200KM EQP 5H SERV TEC LD</t>
  </si>
  <si>
    <t>1.7</t>
  </si>
  <si>
    <t>DESMOBIL 201 A 400KM EQP 5H RESIT OHM LD</t>
  </si>
  <si>
    <t>1.8</t>
  </si>
  <si>
    <t>DESMOBIL 201 A 400KM EQP 5H SERV TEC LD</t>
  </si>
  <si>
    <t>1.9</t>
  </si>
  <si>
    <t>DESMOBIL 401 A 600KM EQP 5H RESIT OHM LD</t>
  </si>
  <si>
    <t>1.10</t>
  </si>
  <si>
    <t>DESMOBIL 401 A 600KM EQP 5H SERV TEC LD</t>
  </si>
  <si>
    <t>1.11</t>
  </si>
  <si>
    <t>DESMOBILIZAR 201 A 400KM EQP 5H SOND LD</t>
  </si>
  <si>
    <t>1.12</t>
  </si>
  <si>
    <t>DESMOBILIZAR 201 A 400KM EQP 5H TOPOG LD</t>
  </si>
  <si>
    <t>1.13</t>
  </si>
  <si>
    <t>DESMOBILIZAR 401 A 600KM EQP 5H SOND LD</t>
  </si>
  <si>
    <t>1.14</t>
  </si>
  <si>
    <t>DESMOBILIZAR 401 A 600KM EQP 5H TOPOG LD</t>
  </si>
  <si>
    <t>1.15</t>
  </si>
  <si>
    <t>DESMOBILIZAR ACIMA 600KM EQP 5H SOND LD</t>
  </si>
  <si>
    <t>1.16</t>
  </si>
  <si>
    <t>DESMOBILIZAR ACIMA 600KM EQP 5H TOPOG LD</t>
  </si>
  <si>
    <t>1.17</t>
  </si>
  <si>
    <t>DESMOBILIZAR REG ISOL EQP 5H SERV TEC LD</t>
  </si>
  <si>
    <t>1.18</t>
  </si>
  <si>
    <t>DESMOBILIZAR REG ISOL EQP 5H TOPOG LD</t>
  </si>
  <si>
    <t>1.19</t>
  </si>
  <si>
    <t>MOBILIZAR 0 A 200KM EQP 5H RESIT OHM LD</t>
  </si>
  <si>
    <t>1.20</t>
  </si>
  <si>
    <t>MOBILIZAR 0 A 200KM EQP 5H SERV TEC LD</t>
  </si>
  <si>
    <t>1.21</t>
  </si>
  <si>
    <t>MOBILIZAR 0 A 200KM EQP 5H SOND LD</t>
  </si>
  <si>
    <t>1.22</t>
  </si>
  <si>
    <t>MOBILIZAR 0 A 200KM EQP 5H TOPOG LD</t>
  </si>
  <si>
    <t>1.23</t>
  </si>
  <si>
    <t>MOBILIZAR 201 A 400KM EQ 5H RESIT OHM LD</t>
  </si>
  <si>
    <t>1.24</t>
  </si>
  <si>
    <t>MOBILIZAR 201 A 400KM EQP 5H SERV TEC LD</t>
  </si>
  <si>
    <t>1.25</t>
  </si>
  <si>
    <t>MOBILIZAR 201 A 400KM EQP 5H SOND LD</t>
  </si>
  <si>
    <t>1.26</t>
  </si>
  <si>
    <t>MOBILIZAR 201 A 400KM EQP 5H TOPOG LD</t>
  </si>
  <si>
    <t>1.27</t>
  </si>
  <si>
    <t>MOBILIZAR 401 A 600KM EQ 5H RESIT OHM LD</t>
  </si>
  <si>
    <t>1.28</t>
  </si>
  <si>
    <t>MOBILIZAR 401 A 600KM EQP 5H SERV TEC LD</t>
  </si>
  <si>
    <t>1.29</t>
  </si>
  <si>
    <t>MOBILIZAR 401 A 600KM EQP 5H SOND LD</t>
  </si>
  <si>
    <t>1.30</t>
  </si>
  <si>
    <t>MOBILIZAR 401 A 600KM EQP 5H TOPOG LD</t>
  </si>
  <si>
    <t>1.31</t>
  </si>
  <si>
    <t>MOBILIZAR ACIMA 600KM EQ5H RESIT OHM LD</t>
  </si>
  <si>
    <t>1.32</t>
  </si>
  <si>
    <t>MOBILIZAR ACIMA 600KM EQP 5H SERV TEC LD</t>
  </si>
  <si>
    <t>1.33</t>
  </si>
  <si>
    <t>MOBILIZAR ACIMA 600KM EQP 5H TOPOG LD</t>
  </si>
  <si>
    <t>1.34</t>
  </si>
  <si>
    <t>MOBILIZAR REG ISOL EQP 5H RESIT OHM LD</t>
  </si>
  <si>
    <t>1.35</t>
  </si>
  <si>
    <t>INSTALAR PLACA DE IDENTIFICAÇÃO DA SE</t>
  </si>
  <si>
    <t>1.36</t>
  </si>
  <si>
    <t>DESMOB EQUIPE E MAQ. ATÉ 200KM</t>
  </si>
  <si>
    <t>1.37</t>
  </si>
  <si>
    <t>DESMOB EQUIPE E MAQ. DE 201KM A 400KM</t>
  </si>
  <si>
    <t>1.38</t>
  </si>
  <si>
    <r>
      <rPr>
        <sz val="10"/>
        <color rgb="FF000000"/>
        <rFont val="Aptos Narrow"/>
        <family val="2"/>
      </rPr>
      <t xml:space="preserve">DESMOB. S. </t>
    </r>
    <r>
      <rPr>
        <b/>
        <sz val="10"/>
        <color rgb="FF000000"/>
        <rFont val="Aptos Narrow"/>
        <family val="2"/>
      </rPr>
      <t>PEQ. PORTE,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MÁX. DE 30 D</t>
    </r>
  </si>
  <si>
    <t>VB</t>
  </si>
  <si>
    <t>1.39</t>
  </si>
  <si>
    <r>
      <rPr>
        <sz val="10"/>
        <color rgb="FF000000"/>
        <rFont val="Aptos Narrow"/>
        <family val="2"/>
      </rPr>
      <t xml:space="preserve">DESMOB. SERV. </t>
    </r>
    <r>
      <rPr>
        <b/>
        <sz val="10"/>
        <color rgb="FF000000"/>
        <rFont val="Aptos Narrow"/>
        <family val="2"/>
      </rPr>
      <t>GRANDE PORTE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&gt;120 D</t>
    </r>
  </si>
  <si>
    <t>1.40</t>
  </si>
  <si>
    <r>
      <rPr>
        <sz val="10"/>
        <color rgb="FF000000"/>
        <rFont val="Aptos Narrow"/>
        <family val="2"/>
      </rPr>
      <t xml:space="preserve">DESMOB. SER. </t>
    </r>
    <r>
      <rPr>
        <b/>
        <sz val="10"/>
        <color rgb="FF000000"/>
        <rFont val="Aptos Narrow"/>
        <family val="2"/>
      </rPr>
      <t>MÉD. PORTE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&gt;60 E &lt;120D</t>
    </r>
  </si>
  <si>
    <t>1.41</t>
  </si>
  <si>
    <r>
      <rPr>
        <sz val="10"/>
        <color rgb="FF000000"/>
        <rFont val="Aptos Narrow"/>
        <family val="2"/>
      </rPr>
      <t xml:space="preserve">DESMOB. SERV. </t>
    </r>
    <r>
      <rPr>
        <b/>
        <sz val="10"/>
        <color rgb="FF000000"/>
        <rFont val="Aptos Narrow"/>
        <family val="2"/>
      </rPr>
      <t>PEQ. PORTE</t>
    </r>
    <r>
      <rPr>
        <sz val="10"/>
        <color rgb="FF000000"/>
        <rFont val="Aptos Narrow"/>
        <family val="2"/>
      </rPr>
      <t xml:space="preserve">, </t>
    </r>
    <r>
      <rPr>
        <b/>
        <sz val="10"/>
        <color rgb="FF000000"/>
        <rFont val="Aptos Narrow"/>
        <family val="2"/>
      </rPr>
      <t>DUR. MÁX. 60D</t>
    </r>
  </si>
  <si>
    <t>1.42</t>
  </si>
  <si>
    <r>
      <rPr>
        <sz val="10"/>
        <color rgb="FF000000"/>
        <rFont val="Aptos Narrow"/>
        <family val="2"/>
      </rPr>
      <t xml:space="preserve">MOBIL. SER. </t>
    </r>
    <r>
      <rPr>
        <b/>
        <sz val="10"/>
        <color rgb="FF000000"/>
        <rFont val="Aptos Narrow"/>
        <family val="2"/>
      </rPr>
      <t>PEQ. PORTE,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MÁX. DE 30D</t>
    </r>
  </si>
  <si>
    <t>1.43</t>
  </si>
  <si>
    <r>
      <rPr>
        <sz val="10"/>
        <color rgb="FF000000"/>
        <rFont val="Aptos Narrow"/>
        <family val="2"/>
      </rPr>
      <t xml:space="preserve">MOBILIZAR SERV. </t>
    </r>
    <r>
      <rPr>
        <b/>
        <sz val="10"/>
        <color rgb="FF000000"/>
        <rFont val="Aptos Narrow"/>
        <family val="2"/>
      </rPr>
      <t>GRANDE PORTE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&gt;120 D</t>
    </r>
  </si>
  <si>
    <t>1.44</t>
  </si>
  <si>
    <r>
      <rPr>
        <sz val="10"/>
        <color rgb="FF000000"/>
        <rFont val="Aptos Narrow"/>
        <family val="2"/>
      </rPr>
      <t xml:space="preserve">MOBIL. SERV. </t>
    </r>
    <r>
      <rPr>
        <b/>
        <sz val="10"/>
        <color rgb="FF000000"/>
        <rFont val="Aptos Narrow"/>
        <family val="2"/>
      </rPr>
      <t>MÉD. PORTE</t>
    </r>
    <r>
      <rPr>
        <sz val="10"/>
        <color rgb="FF000000"/>
        <rFont val="Aptos Narrow"/>
        <family val="2"/>
      </rPr>
      <t xml:space="preserve"> </t>
    </r>
    <r>
      <rPr>
        <b/>
        <sz val="10"/>
        <color rgb="FF000000"/>
        <rFont val="Aptos Narrow"/>
        <family val="2"/>
      </rPr>
      <t>DUR. &gt;60 E &lt;120D</t>
    </r>
  </si>
  <si>
    <t>1.45</t>
  </si>
  <si>
    <r>
      <rPr>
        <sz val="10"/>
        <color rgb="FF000000"/>
        <rFont val="Aptos Narrow"/>
        <family val="2"/>
      </rPr>
      <t xml:space="preserve">MOBILIZ. SER. </t>
    </r>
    <r>
      <rPr>
        <b/>
        <sz val="10"/>
        <color rgb="FF000000"/>
        <rFont val="Aptos Narrow"/>
        <family val="2"/>
      </rPr>
      <t>PEQ. PORTE</t>
    </r>
    <r>
      <rPr>
        <sz val="10"/>
        <color rgb="FF000000"/>
        <rFont val="Aptos Narrow"/>
        <family val="2"/>
      </rPr>
      <t xml:space="preserve">, </t>
    </r>
    <r>
      <rPr>
        <b/>
        <sz val="10"/>
        <color rgb="FF000000"/>
        <rFont val="Aptos Narrow"/>
        <family val="2"/>
      </rPr>
      <t>DUR. MÁX. 60D</t>
    </r>
  </si>
  <si>
    <t>1.46</t>
  </si>
  <si>
    <t>LOCAÇÃO, MARCAÇÃO E ACOMPANHAM.  DA OBRA</t>
  </si>
  <si>
    <t>1.47</t>
  </si>
  <si>
    <t xml:space="preserve">LIGAÇÃO PROVISÓRIA DE LUZ E FORÇA P/ SE </t>
  </si>
  <si>
    <t>1.48</t>
  </si>
  <si>
    <t>INSTALAÇÕES PROVIS.  DE ENERGIA ELÉTRICA</t>
  </si>
  <si>
    <t>MÊS</t>
  </si>
  <si>
    <t>1.49</t>
  </si>
  <si>
    <t>TELA TAPUME (ISOLAMENTO/SINALIZAÇÃO)</t>
  </si>
  <si>
    <t>M</t>
  </si>
  <si>
    <t>1.50</t>
  </si>
  <si>
    <t>LIMPEZA GERAL DA OBRA (CIVIL)</t>
  </si>
  <si>
    <t>1.51</t>
  </si>
  <si>
    <t>LIMPEZA INICIAL</t>
  </si>
  <si>
    <t>1.52</t>
  </si>
  <si>
    <t>INSTALAÇÕES PROVISÓRIAS DE ÁGUA E ESGOTO</t>
  </si>
  <si>
    <t>1.53</t>
  </si>
  <si>
    <t>CONSTRUIR BARRACÃO DE OBRAS</t>
  </si>
  <si>
    <t>M2</t>
  </si>
  <si>
    <t>1.54</t>
  </si>
  <si>
    <t>EMITIR ART E DOCUMENTAÇÃO DE AMPLI SE'S</t>
  </si>
  <si>
    <t>1.55</t>
  </si>
  <si>
    <t>EMITIR ART E DOCUMENTAÇÃO DE NOVAS SE'S</t>
  </si>
  <si>
    <t>1.56</t>
  </si>
  <si>
    <t>INSTALAR PLACA DE IDENTIFICAÇÃO DE OBRAS</t>
  </si>
  <si>
    <t>1.57</t>
  </si>
  <si>
    <t>SERVIÇO INSTALAR TAPUME P/ ISOLAM. OBRAS</t>
  </si>
  <si>
    <t>1.58</t>
  </si>
  <si>
    <t>FORNEC. E INSTAL. ESCRIT. CONTAINER OBRA</t>
  </si>
  <si>
    <t>1.59</t>
  </si>
  <si>
    <t>FORNEC. E INSTAL. DEPOSI. CONTAINER OBRA</t>
  </si>
  <si>
    <t>1.60</t>
  </si>
  <si>
    <t>DISPONIBILIZAR VEICULOS PARA SERVIÇO</t>
  </si>
  <si>
    <t>1.61</t>
  </si>
  <si>
    <t>GUARDA FISICA DIURNA/NOTURNA DA SE</t>
  </si>
  <si>
    <t>DIA</t>
  </si>
  <si>
    <t>1.62</t>
  </si>
  <si>
    <t>ALUGUEL DE CONTAINER P/ BANHEIROS</t>
  </si>
  <si>
    <t>1.64</t>
  </si>
  <si>
    <t>ALUGUEL DE CONTAINER PARA REFEITÓRIO</t>
  </si>
  <si>
    <t>1.65</t>
  </si>
  <si>
    <t>BANHEIRO QUÍMICO</t>
  </si>
  <si>
    <t>1.66</t>
  </si>
  <si>
    <t>ALUGUEL DE CONTAINER P/ ALMOXARIFADO</t>
  </si>
  <si>
    <t>1.67</t>
  </si>
  <si>
    <t>ALUGUEL DE  2 APARELHOS DE AR CONDIC.</t>
  </si>
  <si>
    <t>1.68</t>
  </si>
  <si>
    <t>CONS. DE ENERGIA (150 KW +IMPOSTOS)</t>
  </si>
  <si>
    <t>1.69</t>
  </si>
  <si>
    <t>CONSUMO DE ÁGUA 20 M³</t>
  </si>
  <si>
    <t>1.70</t>
  </si>
  <si>
    <t>TRANSPORTE DOS CONTAINER</t>
  </si>
  <si>
    <t>1.71</t>
  </si>
  <si>
    <t>AÇÕES DE SEGURANÇA</t>
  </si>
  <si>
    <t>1.72</t>
  </si>
  <si>
    <t>AÇÕES AMBIENTAIS</t>
  </si>
  <si>
    <t>1.73</t>
  </si>
  <si>
    <t>BARRAÇÃO REFEITÓRIO 6X6m</t>
  </si>
  <si>
    <t>1.74</t>
  </si>
  <si>
    <t>LIMPEZA DURANTE E NO FINAL DA OBRA</t>
  </si>
  <si>
    <t>1.75</t>
  </si>
  <si>
    <t>MÃO DE OBRA DE ADMINISTRAÇÃO LOCAL</t>
  </si>
  <si>
    <t>%</t>
  </si>
  <si>
    <t>2.0</t>
  </si>
  <si>
    <t>SERVIÇOS PRELIMINARES - TRANSPORTE (FATOR "T")</t>
  </si>
  <si>
    <t>2.1</t>
  </si>
  <si>
    <t xml:space="preserve">TRANSPORTE E ESPALHAMENTO </t>
  </si>
  <si>
    <t>M3</t>
  </si>
  <si>
    <t>2.2</t>
  </si>
  <si>
    <t>TRANSPORTE DAS ESCAVAÇÕES PARA LOCAL ADEQUADO</t>
  </si>
  <si>
    <t>2.3</t>
  </si>
  <si>
    <t>TRANSPORTE/REMOÇÃO DO MATERIAL PROVENIENTE DAS ESCAVAÇÕES PARA FORA DO PÁTIO</t>
  </si>
  <si>
    <t>2.4</t>
  </si>
  <si>
    <t>TRANSPORTE E ESPALHAMENTO ATÉ 200 M</t>
  </si>
  <si>
    <t>2.5</t>
  </si>
  <si>
    <t>TRANSPORTE DE POSTE DE AT EM DISTÂNCIA ATÉ 70KM</t>
  </si>
  <si>
    <t>Km RODADO</t>
  </si>
  <si>
    <t>2.6</t>
  </si>
  <si>
    <t>TRANSPORTE DE POSTE DE AT EM DISTÂNCIA SUPERIOR A 70KM</t>
  </si>
  <si>
    <t>2.7</t>
  </si>
  <si>
    <t>TRANSPORTE DE EQUIPAMENTOS MENORES - LT</t>
  </si>
  <si>
    <t>2.8</t>
  </si>
  <si>
    <t xml:space="preserve">S. FRETE/TRANSP. EQUIP./MAT. DMT&gt;800KM. </t>
  </si>
  <si>
    <t>2.9</t>
  </si>
  <si>
    <t xml:space="preserve">S. FRETE/TRANS. EQ./MAT. 401&lt;DMT&lt;800KM. </t>
  </si>
  <si>
    <t>2.10</t>
  </si>
  <si>
    <t xml:space="preserve">S. FRETE/TRAN. EQ. /MAT. 201&lt;DMT&lt;400KM. </t>
  </si>
  <si>
    <t>2.11</t>
  </si>
  <si>
    <t>S. FRET./TRA. EQUIP./MAT. P/ OBR. CAPIT.</t>
  </si>
  <si>
    <t>2.12</t>
  </si>
  <si>
    <t xml:space="preserve">S. FRETE/TRANSP. EQUIP./MAT. DMT&lt;200KM. </t>
  </si>
  <si>
    <t>2.13</t>
  </si>
  <si>
    <t>TRANSP. DE EQUIPAM. E/OU MATERIAIS - SE</t>
  </si>
  <si>
    <t>3.0</t>
  </si>
  <si>
    <t>CENTRO MODULAR DE INFRA-ESTRUTURA GERAL - OBRAS CIVIS (FATOR "C")</t>
  </si>
  <si>
    <t>3.1</t>
  </si>
  <si>
    <t>REGULARIZAÇÃO / NIVELAMENTO DA ÁREA</t>
  </si>
  <si>
    <t>3.1.1</t>
  </si>
  <si>
    <t>EXECUTAR LEVANTAMENTO PLANIALTIMETRICO</t>
  </si>
  <si>
    <t>3.1.2</t>
  </si>
  <si>
    <t>LIMPEZA DO TERRENO / REMOÇÃO</t>
  </si>
  <si>
    <t>3.1.3</t>
  </si>
  <si>
    <t>EXECUTAR LIMPEZA MANUAL DE TERRENO</t>
  </si>
  <si>
    <t>3.1.4</t>
  </si>
  <si>
    <t>EXECUTAR LIMPEZA MECANIZADA DE TERRENO</t>
  </si>
  <si>
    <t>3.1.5</t>
  </si>
  <si>
    <t>EXECUTAR LOCAÇÃO DE OBRA DE SUBESTAÇÃO</t>
  </si>
  <si>
    <t>3.1.6</t>
  </si>
  <si>
    <t>ESCAV. C/ MARTELETE ROMPEDOR EM ROCHA</t>
  </si>
  <si>
    <t>3.1.7</t>
  </si>
  <si>
    <t>AQUISIÇÃO DE CASCALHO PARA ATERRO</t>
  </si>
  <si>
    <t>3.1.8</t>
  </si>
  <si>
    <t>ESCAVAÇÃO DE  MATERIAL DE 1ª CATEGORIA</t>
  </si>
  <si>
    <t>3.1.9</t>
  </si>
  <si>
    <t>EXECUTAR CORTE MECANIZADO (1ª CATEGORIA)</t>
  </si>
  <si>
    <t>3.1.10</t>
  </si>
  <si>
    <t>ESCAVAÇÃO DE  MATERIAL DE 2ª CATEGORIA</t>
  </si>
  <si>
    <t>3.1.11</t>
  </si>
  <si>
    <t>EXECUTAR CORTE MECANIZADO (3ª CATEGORIA)</t>
  </si>
  <si>
    <t>3.1.12</t>
  </si>
  <si>
    <t>EXECUTAR ATERRO MECANIZADO (JAZIDA)</t>
  </si>
  <si>
    <t>3.1.13</t>
  </si>
  <si>
    <t>EXECUTAR ATERRO MECANIZADO (MAT LOCAL)</t>
  </si>
  <si>
    <t>3.1.14</t>
  </si>
  <si>
    <t>COMPACTAÇÃO ATÉ 95% DO PROCTOR NORMAL (ATERRO) (SINAPI INSUMO 00006081 E COMPOSIÇÃO 96385)</t>
  </si>
  <si>
    <t>3.1.15</t>
  </si>
  <si>
    <t>EXECUTAR REVESTIMENTO EM PÓ DE BRITA</t>
  </si>
  <si>
    <t>3.1.16</t>
  </si>
  <si>
    <t>AQUIS. ARG/BARRO ATERRO/REATER C/ TRANSP</t>
  </si>
  <si>
    <t>3.1.17</t>
  </si>
  <si>
    <t>AQUIS. ARG/BARRO ATERRO/REATER S/ TRANSP</t>
  </si>
  <si>
    <t>3.1.18</t>
  </si>
  <si>
    <t>ÁREA DE CORTE E ATERRO  - ESCARIFICAÇÃO</t>
  </si>
  <si>
    <t>3.1.19</t>
  </si>
  <si>
    <t>REGULARIZ. E COMPAC. DE SUBLEITO DE SOLO</t>
  </si>
  <si>
    <t>3.2</t>
  </si>
  <si>
    <t>BASES PARA EQUIPAMENTOS E ESTRUTURAS DE BARRAMENTO 13,8 kV</t>
  </si>
  <si>
    <t>3.2.1</t>
  </si>
  <si>
    <t>BASE POSTE ALIMENTADOR</t>
  </si>
  <si>
    <t>3.2.2</t>
  </si>
  <si>
    <t>BASE PARA MUFLA DO TRAFO</t>
  </si>
  <si>
    <t>3.2.3</t>
  </si>
  <si>
    <t>BASE ELETROCENTRO</t>
  </si>
  <si>
    <t>CJ</t>
  </si>
  <si>
    <t>3.2.4</t>
  </si>
  <si>
    <t>BASE PARA CONTENIER</t>
  </si>
  <si>
    <t>3.2.5</t>
  </si>
  <si>
    <t>BASE POSTE 7/1000 - G-0-0-PJ-PP-37</t>
  </si>
  <si>
    <t>3.2.6</t>
  </si>
  <si>
    <t>BASE POSTE 8/1000 - G-0-0-PJ-PP-38</t>
  </si>
  <si>
    <t>3.2.7</t>
  </si>
  <si>
    <t>BASE POSTE 8/1650 - G-0-0-PJ-PP-38</t>
  </si>
  <si>
    <t>3.2.8</t>
  </si>
  <si>
    <t>BASE POSTE 10/1000 - SOLO-CIMENTO</t>
  </si>
  <si>
    <t>3.2.9</t>
  </si>
  <si>
    <t>BASE POSTE 11/1000 - G-0-0-PJ-PP-42</t>
  </si>
  <si>
    <t>3.2.10</t>
  </si>
  <si>
    <t>BASE POSTE 11/1650 - G-0-0-PJ-PP-42</t>
  </si>
  <si>
    <t>3.2.11</t>
  </si>
  <si>
    <t>BASE POSTE 12/1000 - G-0-0-PJ-PP-39</t>
  </si>
  <si>
    <t>3.2.12</t>
  </si>
  <si>
    <t>BASE POSTE 12/1650 - G-0-0-PJ-PP-39</t>
  </si>
  <si>
    <t>3.2.13</t>
  </si>
  <si>
    <t>BASE POSTE 13-1000 - G-0-0-PJ-PP-43</t>
  </si>
  <si>
    <t>3.2.14</t>
  </si>
  <si>
    <t>BASE POSTE 15-1350 - G-0-0-PJ-PP-40</t>
  </si>
  <si>
    <t>3.2.15</t>
  </si>
  <si>
    <t>EXECUTAR BASE PARA CHAVE SEC 15 KV</t>
  </si>
  <si>
    <t>3.2.16</t>
  </si>
  <si>
    <t>SUPORTE ACION. DE CHAVE SECCIONADORA</t>
  </si>
  <si>
    <t>3.2.17</t>
  </si>
  <si>
    <t>BANCO CAPACIT. 5,4MVAR - G-0-0-PJ-PB-68</t>
  </si>
  <si>
    <t>3.2.18</t>
  </si>
  <si>
    <t>BANCO CAPACIT. 2,25MVAR - G-0-0-PJ-PB-75</t>
  </si>
  <si>
    <t>3.2.19</t>
  </si>
  <si>
    <t>BANCO CAPAC. 2,25MVAR - G-0-0-PJ-PB-88</t>
  </si>
  <si>
    <t>3.2.20</t>
  </si>
  <si>
    <t>BASE PMFE-125 - G-0-0-PJ-PB-77</t>
  </si>
  <si>
    <t>3.2.21</t>
  </si>
  <si>
    <t>BASE TRAFO SERVIÇO AUXILIAR - G-0-0-PJ-PB-79</t>
  </si>
  <si>
    <t>3.2.22</t>
  </si>
  <si>
    <t>BASE PARA TC - G-0-0-PJ-PB-89</t>
  </si>
  <si>
    <t>3.2.23</t>
  </si>
  <si>
    <t>HÍBRIDO RELIGADOR - G-0-0-PJ-PB-112</t>
  </si>
  <si>
    <t>3.2.24</t>
  </si>
  <si>
    <t>BANCO DE CAPACITOR 1,8MVAR 13,8KV - G-0-0-PJ-PB-115</t>
  </si>
  <si>
    <t>3.2.25</t>
  </si>
  <si>
    <t>BANCO DE CAPACITOR 2,25MVAR 15KV - G-0-0-PJ-PB-116</t>
  </si>
  <si>
    <t>3.2.26</t>
  </si>
  <si>
    <t>BANCO DE CAPACITOR 5,4MVAR 13,8KV - G-0-0-PJ-PB-117</t>
  </si>
  <si>
    <t>3.2.27</t>
  </si>
  <si>
    <t>FUNDAÇÃO DISJUNTOR 13,8/34,5KV - G-0-0-PJ-PB-123</t>
  </si>
  <si>
    <t>3.2.28</t>
  </si>
  <si>
    <t>ESCADA P/ DJ ATÉ 34,5KV - G-0-0-PJ-AJ-31</t>
  </si>
  <si>
    <t>3.2.29</t>
  </si>
  <si>
    <t>BASE POSTE 10/1000 - G-0-0-PJ-PP-37</t>
  </si>
  <si>
    <t>3.2.30</t>
  </si>
  <si>
    <t>BASE POSTE 11/1000 - (ITD03 - 13,5 MPA)</t>
  </si>
  <si>
    <t>3.2.31</t>
  </si>
  <si>
    <t>BASE POSTE 11/1000 - (ITD03 - 25 MPA)</t>
  </si>
  <si>
    <t>3.3</t>
  </si>
  <si>
    <t>BASES PARA EQUIPAMENTOS E ESTRUTURAS DE BARRAMENTO 34,5 kV</t>
  </si>
  <si>
    <t>3.3.1</t>
  </si>
  <si>
    <t>EXECUTAR VIA DE TRANSFERÊNCIA</t>
  </si>
  <si>
    <t>3.3.2</t>
  </si>
  <si>
    <t>B. TRAFO 34,5KV ATÉ 15T - G-0-0-PJ-PB-59</t>
  </si>
  <si>
    <t>3.3.3</t>
  </si>
  <si>
    <t>EXECUTAR BASE PROJETOR DE ILUMINAÇÃO SE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</si>
  <si>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</si>
  <si>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</si>
  <si>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</si>
  <si>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</si>
  <si>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</si>
  <si>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</si>
  <si>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</si>
  <si>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</si>
  <si>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</si>
  <si>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</si>
  <si>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</si>
  <si>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EXECUTAR FUNDAÇÃO DE POSTE ACIMA DE 14M</t>
  </si>
  <si>
    <t>3.3.15</t>
  </si>
  <si>
    <t>EXECUTAR FUNDAÇÃO DE POSTE ATÉ 9M</t>
  </si>
  <si>
    <t>3.3.16</t>
  </si>
  <si>
    <t>EXECUTAR FUNDAÇÃO DE POSTE DE 9M A 14M</t>
  </si>
  <si>
    <t>3.3.17</t>
  </si>
  <si>
    <t>3.3.18</t>
  </si>
  <si>
    <t>3.3.19</t>
  </si>
  <si>
    <t>3.3.20</t>
  </si>
  <si>
    <t>3.3.21</t>
  </si>
  <si>
    <t>3.3.22</t>
  </si>
  <si>
    <t>3.3.23</t>
  </si>
  <si>
    <t>3.3.24</t>
  </si>
  <si>
    <t>3.3.25</t>
  </si>
  <si>
    <t>BANCO DE CAPACITOR 1.8MVA 34,5KV - G-0-0-PJ-PB-118</t>
  </si>
  <si>
    <t>3.3.26</t>
  </si>
  <si>
    <t>BANCO DE CAPACITOR 5,4MVAR 34,5KV - G-0-0-PJ-PB-119</t>
  </si>
  <si>
    <t>3.3.27</t>
  </si>
  <si>
    <t>3.3.28</t>
  </si>
  <si>
    <t>BASE + PRÉ-MOLDADO TC-TP-PR 34,5KV</t>
  </si>
  <si>
    <t>3.3.29</t>
  </si>
  <si>
    <t>3.3.30</t>
  </si>
  <si>
    <t>3.4</t>
  </si>
  <si>
    <t>BASES PARA EQUIPAMENTOS E ESTRUTURAS DE BARRAMENTO 69 kV</t>
  </si>
  <si>
    <t>3.4.1</t>
  </si>
  <si>
    <t>BASE TRAFO 69KV ATÉ 40T- G-0-0-PJ-PB-43</t>
  </si>
  <si>
    <t>3.4.2</t>
  </si>
  <si>
    <t>BASE G-0-0-PJ-PB-90 + PRÉ-MOLDADO TC 69KV E 138KV - VÃO DE LINHA G-0-0-PJ-PB-128</t>
  </si>
  <si>
    <t>3.4.3</t>
  </si>
  <si>
    <t>BASE G-0-0-PJ-PB-90 + PRÉ-MOLDADO PR 69KV E 138KV - VÃO DE LINHA G-0-0-PJ-PB-129</t>
  </si>
  <si>
    <t>3.4.4</t>
  </si>
  <si>
    <t>BASE G-0-0-PJ-PB-90 + PRÉ-MOLDADO TC 69KV E 138KV - VÃO DE TRAFO G-0-0-PJ-PB-132</t>
  </si>
  <si>
    <t>3.4.5</t>
  </si>
  <si>
    <t>BASE G-0-0-PJ-PB-90 + PRÉ-MOLDADO PR 69KV E 138KV - VÃO DE TRAFO G-0-0-PJ-PB-133</t>
  </si>
  <si>
    <t>3.4.6</t>
  </si>
  <si>
    <t>BASE G-0-0-PJ-PB-90 + PRÉ-MOLDADO TP 69KV E 138KV G-0-0-PJ-PB-131</t>
  </si>
  <si>
    <t>3.4.7</t>
  </si>
  <si>
    <t>EXECUTAR BASE PARA IP, PR, TC OU TP 69 K</t>
  </si>
  <si>
    <t>3.4.8</t>
  </si>
  <si>
    <t>BASE G-0-0-PJ-PB-90 + PRÉ-MOLDADO IP 69KV E 138KV G-0-0-PJ-PB-130</t>
  </si>
  <si>
    <t>3.4.9</t>
  </si>
  <si>
    <t>EXECUTAR BASE PARA CHAVE SEC 69 KV</t>
  </si>
  <si>
    <t>3.4.10</t>
  </si>
  <si>
    <t>BASE G-0-0-PJ-PB-93 + PRÉ-MOLDADO CHAVE SECCIONADORA 69KV G-0-0-PJ-PB-126</t>
  </si>
  <si>
    <t>3.4.11</t>
  </si>
  <si>
    <t>EXECUTAR BASE PARA DISJUNTOR 69 KV</t>
  </si>
  <si>
    <t>3.4.12</t>
  </si>
  <si>
    <t>INSTALAR BASE PRÉ-MOLD. P/ DISJ. 69 KV</t>
  </si>
  <si>
    <t>3.4.13</t>
  </si>
  <si>
    <t>FUNDAÇÃO DISJUNTOR 69KV - G-0-0-PJ-PB-110</t>
  </si>
  <si>
    <t>3.4.14</t>
  </si>
  <si>
    <t>EXECUTAR BASE BANCO DE CAPACITORES 69 KV</t>
  </si>
  <si>
    <t>3.4.15</t>
  </si>
  <si>
    <t>EXECUTAR BASE BANCO REGULADOR TRIF 69KV</t>
  </si>
  <si>
    <t>3.4.16</t>
  </si>
  <si>
    <t>EXECUTAR BASE P/ REATOR DE POTÊNCIA 69KV</t>
  </si>
  <si>
    <t>3.4.17</t>
  </si>
  <si>
    <t>3.4.18</t>
  </si>
  <si>
    <t>3.4.19</t>
  </si>
  <si>
    <t>3.4.20</t>
  </si>
  <si>
    <t>3.4.21</t>
  </si>
  <si>
    <t>3.4.22</t>
  </si>
  <si>
    <t>ESCADA PARA DJ 69KV - G-0-0-PJ-AJ-31</t>
  </si>
  <si>
    <t>3.4.23</t>
  </si>
  <si>
    <t>FUNDAÇÃO COL. SECUND. - S-FER-1-PJ-FU-03</t>
  </si>
  <si>
    <t>3.4.24</t>
  </si>
  <si>
    <t>FUNDAÇÃO COL. PRINC. - S-FER-1-PJ-FU-02</t>
  </si>
  <si>
    <t>3.5</t>
  </si>
  <si>
    <t>BASES PARA EQUIPAMENTOS E ESTRUTURAS DE BARRAMENTO 138 kV</t>
  </si>
  <si>
    <t>3.5.1</t>
  </si>
  <si>
    <t>EXECUTAR BASE DE TR DE FORÇA ATÉ 40MVA</t>
  </si>
  <si>
    <t>3.5.2</t>
  </si>
  <si>
    <t>EXECUTAR BASE DE TR DE FORÇA ATÉ 6,25MVA</t>
  </si>
  <si>
    <t>3.5.3</t>
  </si>
  <si>
    <t>BASE TRAFO 138KV ATÉ 60T - G-0-0-PJ-PB-73</t>
  </si>
  <si>
    <t>3.5.4</t>
  </si>
  <si>
    <t>BASE TRAFO 138 KV 40 MVA ATÉ 80T</t>
  </si>
  <si>
    <t>3.5.5</t>
  </si>
  <si>
    <t>3.5.6</t>
  </si>
  <si>
    <t>3.5.7</t>
  </si>
  <si>
    <t>3.5.8</t>
  </si>
  <si>
    <t>3.5.9</t>
  </si>
  <si>
    <t>3.5.10</t>
  </si>
  <si>
    <t>3.5.11</t>
  </si>
  <si>
    <t>EXECUTAR BASE PARA CHAVE SEC 138 KV</t>
  </si>
  <si>
    <t>3.5.12</t>
  </si>
  <si>
    <t>EXECUTAR BASE P/ CHAVE SECC. VERT. 138KV</t>
  </si>
  <si>
    <t>3.5.13</t>
  </si>
  <si>
    <t>BASE G-0-0-PJ-PB-92 + PRÉ-MOLDADO CHAVE SECCIONADORA 138KV G-0-0-PJ-PB-136</t>
  </si>
  <si>
    <t>3.5.14</t>
  </si>
  <si>
    <t>BASE + PRÉ-MOLD. CH. SECCION. VERTICAL</t>
  </si>
  <si>
    <t>3.5.15</t>
  </si>
  <si>
    <t>FUNDAÇÃO DISJUNTOR 138KV - G-0-0-PJ-PB-109</t>
  </si>
  <si>
    <t>3.5.16</t>
  </si>
  <si>
    <t>3.5.17</t>
  </si>
  <si>
    <t>3.5.18</t>
  </si>
  <si>
    <t>3.5.19</t>
  </si>
  <si>
    <t>ESCADA PARA DJ 138KV - G-0-0-PJ-AJ-31</t>
  </si>
  <si>
    <t>3.5.20</t>
  </si>
  <si>
    <t>BASE PÓRTICO 138 KV - G-0-0-PJ-PB-139</t>
  </si>
  <si>
    <t>3.5.21</t>
  </si>
  <si>
    <t>3.5.22</t>
  </si>
  <si>
    <t>BASE POSTE 17/1600</t>
  </si>
  <si>
    <t>3.6</t>
  </si>
  <si>
    <t>BASES DIVERSAS</t>
  </si>
  <si>
    <t>3.6.1</t>
  </si>
  <si>
    <t>BASE PARA TIRFOR</t>
  </si>
  <si>
    <t>3.6.2</t>
  </si>
  <si>
    <t>BASE PARA POSTE CFTV</t>
  </si>
  <si>
    <t>3.6.3</t>
  </si>
  <si>
    <t>FUNDAÇÃO POSTE DE ILUMINAÇÃO</t>
  </si>
  <si>
    <t>3.6.4</t>
  </si>
  <si>
    <t>BASE EM CONCRETO ARMADO PARA ANTENA PARABÓLICA VSAT COM DIMENSÕES 90X90X70 CM COM ELETRODUTO CONFORME DESENHO TEL.AA2.260</t>
  </si>
  <si>
    <t>3.6.5</t>
  </si>
  <si>
    <t>INSTALAR E FORNECER ESCADA METÁLICA</t>
  </si>
  <si>
    <t>3.6.6</t>
  </si>
  <si>
    <t>BASE PARA VIRADOR - G-0-0-PJ-PB-106</t>
  </si>
  <si>
    <t>3.6.7</t>
  </si>
  <si>
    <t>VIGA TRILHO - G-0-0-PJ-PB-105</t>
  </si>
  <si>
    <t>3.6.8</t>
  </si>
  <si>
    <t>BASE PARA CUBÍCULOS</t>
  </si>
  <si>
    <t>3.6.9</t>
  </si>
  <si>
    <t>ESCADA - ALVENARIA</t>
  </si>
  <si>
    <t>3.6.10</t>
  </si>
  <si>
    <t>ESCADAS PARA TRAFOS DE 138 KV</t>
  </si>
  <si>
    <t>3.6.11</t>
  </si>
  <si>
    <t>GALERIA DE CABOS - DES. S-JKJ-1-PJ-FU-08</t>
  </si>
  <si>
    <t>3.6.12</t>
  </si>
  <si>
    <t>ESCAVAÇÃO MANUAL</t>
  </si>
  <si>
    <t>3.6.13</t>
  </si>
  <si>
    <t>FORMA SIMPLES</t>
  </si>
  <si>
    <t>3.6.14</t>
  </si>
  <si>
    <t>FORNECIMENTO DE ARMADURA CA-50 OU CA 60</t>
  </si>
  <si>
    <t>KG</t>
  </si>
  <si>
    <t>3.6.15</t>
  </si>
  <si>
    <t>CORTE E DOBRA ARMADURA CA-50 E/OU CA 60</t>
  </si>
  <si>
    <t>3.6.16</t>
  </si>
  <si>
    <t>CONCRETO SIMPLES USINADO C/ FCK &gt;=20 MPA</t>
  </si>
  <si>
    <t>3.6.17</t>
  </si>
  <si>
    <t>CONCRETO SIMPLES USINADO C/ FCK &gt;=25 MPA</t>
  </si>
  <si>
    <t>3.6.18</t>
  </si>
  <si>
    <t>CONCRETO MAGRO, TRAÇO 1:3:5</t>
  </si>
  <si>
    <t>3.6.19</t>
  </si>
  <si>
    <t>BASE TRAFO DE FORÇA 6,25MVA SEM TRILHOS</t>
  </si>
  <si>
    <t>3.6.20</t>
  </si>
  <si>
    <t>BASE TRAFO 6,25MVA C/ TRILHO C/ SOL-CIM.</t>
  </si>
  <si>
    <t>3.6.21</t>
  </si>
  <si>
    <t>BASE TRAFO 6,25MVA C/ TRILHO S/ SOL-CIM.</t>
  </si>
  <si>
    <t>3.6.22</t>
  </si>
  <si>
    <t>B TRAFO 10/12,5MVA C/ TRILHO C/ SOL-CIM.</t>
  </si>
  <si>
    <t>3.6.23</t>
  </si>
  <si>
    <t>B TRAFO 10/12,5MVA C/ TRILHO S/ SOL-CIM.</t>
  </si>
  <si>
    <t>3.6.24</t>
  </si>
  <si>
    <t>BASE BANCO REGULADOR MONOF. 15kV E 36kV</t>
  </si>
  <si>
    <t>3.6.25</t>
  </si>
  <si>
    <t>BASE PARA DISJUNTOR 15/36kv</t>
  </si>
  <si>
    <t>3.6.26</t>
  </si>
  <si>
    <t>3.6.27</t>
  </si>
  <si>
    <t>BASE RELIGADOR 36 KV</t>
  </si>
  <si>
    <t>3.6.28</t>
  </si>
  <si>
    <t>BASE PARA IP DE REATORES</t>
  </si>
  <si>
    <t>3.6.29</t>
  </si>
  <si>
    <t>BASE PARA REATOR 34,5 KV</t>
  </si>
  <si>
    <t>3.6.30</t>
  </si>
  <si>
    <t>BASE TRAFO ATÉ 40 MVAR C/ SOLO-CIMENTO</t>
  </si>
  <si>
    <t>3.6.31</t>
  </si>
  <si>
    <t>BASE TRAFO ATÉ 40 MVAR S/ SOLO-CIMENTO</t>
  </si>
  <si>
    <t>3.6.32</t>
  </si>
  <si>
    <t>BASE PARA REATOR 69 KV</t>
  </si>
  <si>
    <t>3.6.33</t>
  </si>
  <si>
    <t>BASE PARA REATOR 138 KV</t>
  </si>
  <si>
    <t>3.6.34</t>
  </si>
  <si>
    <t>BASE DOS EQUIP. FORMA E FER. P/ BC 138KV</t>
  </si>
  <si>
    <t>3.7</t>
  </si>
  <si>
    <t>EDIFICAÇÕES</t>
  </si>
  <si>
    <t>3.7.1</t>
  </si>
  <si>
    <t>CONSTRUIR COM PEDRA ARGAMASSADA</t>
  </si>
  <si>
    <t>3.7.2</t>
  </si>
  <si>
    <t>EXECUTAR CHAPISCO PARA PAREDES EXTERNAS</t>
  </si>
  <si>
    <t>3.7.3</t>
  </si>
  <si>
    <t>EXECUTAR LAJE PARA VÃO ATÉ 6,00M</t>
  </si>
  <si>
    <t>3.7.4</t>
  </si>
  <si>
    <t>EXECUTAR MASSA ÚNICA EXTERNA</t>
  </si>
  <si>
    <t>3.7.5</t>
  </si>
  <si>
    <t>EXECUTAR SOLEIRA DE CERÂMICA</t>
  </si>
  <si>
    <t>3.7.6</t>
  </si>
  <si>
    <t>IMPERMEABILIZAR LAJES EM SE</t>
  </si>
  <si>
    <t>3.7.7</t>
  </si>
  <si>
    <t>INSTALAR E FORNECER BANCADA EM GRANITO</t>
  </si>
  <si>
    <t>3.7.8</t>
  </si>
  <si>
    <t>INSTALAR E FORNECER PORTA CORTA FOGO</t>
  </si>
  <si>
    <t>3.7.9</t>
  </si>
  <si>
    <t>INSTALAR E FORNECER PORTA DE MADEIRA</t>
  </si>
  <si>
    <t>3.7.10</t>
  </si>
  <si>
    <t>INSTALAR JANELA ESQUADRIA EM ALUMÍNIO</t>
  </si>
  <si>
    <t>3.7.11</t>
  </si>
  <si>
    <t>INST. SIST. REFRIG AR SPLIT CC 18000BTUS</t>
  </si>
  <si>
    <t>3.7.12</t>
  </si>
  <si>
    <t>CONSTRUIR ESCADA EM CONCRETO</t>
  </si>
  <si>
    <t>3.7.13</t>
  </si>
  <si>
    <t>EXECUÇÃO DE PÓRTICO DE IDENT. SUBEST.</t>
  </si>
  <si>
    <t>3.7.14</t>
  </si>
  <si>
    <t>INSTALAR E FORNECER CAIXA D'ÁGUA 500L</t>
  </si>
  <si>
    <t>3.7.15</t>
  </si>
  <si>
    <t>INSTALAR E FORNECER BOMBA SUBMERSA 3/4CV</t>
  </si>
  <si>
    <t>3.7.16</t>
  </si>
  <si>
    <t xml:space="preserve">INST E FORN SIST CAPT DE ÁGUA PLUVIAL </t>
  </si>
  <si>
    <t>3.7.17</t>
  </si>
  <si>
    <t>INST E FORN EXAUSTOR D=40CM-SALA DE BAT</t>
  </si>
  <si>
    <t>3.7.18</t>
  </si>
  <si>
    <t>CONST MURO CONTENÇÃO PEDRA ARGAMASSADA</t>
  </si>
  <si>
    <t>3.7.19</t>
  </si>
  <si>
    <t>EXECUTAR INSTALAÇÕES ELÉTRICAS</t>
  </si>
  <si>
    <t>3.7.20</t>
  </si>
  <si>
    <t>EXECUTAR INSTALAÇÕES HIDRO-SANITÁRIAS</t>
  </si>
  <si>
    <t>3.7.21</t>
  </si>
  <si>
    <t>SERV APLIC ESMALTE SINTÉTICO SOB FERRO</t>
  </si>
  <si>
    <t>3.7.22</t>
  </si>
  <si>
    <t>APLICAR TINTA ACRÍLICA EXTERNA</t>
  </si>
  <si>
    <t>3.7.23</t>
  </si>
  <si>
    <t>APLICAR TINTA LATEX INTERNA</t>
  </si>
  <si>
    <t>3.7.24</t>
  </si>
  <si>
    <t>CONSTRUÇÃO DE SUMIDOURO</t>
  </si>
  <si>
    <t>3.7.25</t>
  </si>
  <si>
    <t>CONSTRUIR CALÇADA OU PASSEIO</t>
  </si>
  <si>
    <t>3.7.26</t>
  </si>
  <si>
    <t>CONSTRUIR FOSSA SÉPTICA</t>
  </si>
  <si>
    <t>3.7.27</t>
  </si>
  <si>
    <t>CONSTRUIR MEIO-FIO</t>
  </si>
  <si>
    <t>3.7.28</t>
  </si>
  <si>
    <t>CONSTRUIR MURO</t>
  </si>
  <si>
    <t>3.7.29</t>
  </si>
  <si>
    <t>EXECUTAR O PLANTIO DE GRAMA</t>
  </si>
  <si>
    <t>3.7.30</t>
  </si>
  <si>
    <t>EXECUTAR PINTURA DE ESTRUTURA EM SE</t>
  </si>
  <si>
    <t>3.7.31</t>
  </si>
  <si>
    <t>EXECUTAR PISO CIMENTADO</t>
  </si>
  <si>
    <t>3.7.32</t>
  </si>
  <si>
    <t>EXECUTAR PISTA EM BLOCOS DE CONCRETO</t>
  </si>
  <si>
    <t>3.7.33</t>
  </si>
  <si>
    <t>INSTALAR E FORNECER ALAMBRADO</t>
  </si>
  <si>
    <t>3.7.34</t>
  </si>
  <si>
    <t>INSTALAR E FORNECER CERCA EM MOURÕES</t>
  </si>
  <si>
    <t>3.7.35</t>
  </si>
  <si>
    <t>INSTALAR E FORNECER CHAPA XADREZ</t>
  </si>
  <si>
    <t>3.7.36</t>
  </si>
  <si>
    <t>INST E FORN CONCERTINA AÇO GALV  D=45 CM</t>
  </si>
  <si>
    <t>3.7.37</t>
  </si>
  <si>
    <t xml:space="preserve">INST E FORNECER PORTA EM CHAPA DE AÇO </t>
  </si>
  <si>
    <t>3.7.38</t>
  </si>
  <si>
    <t>SERVICO INSTAL FORNEC PORTAO P/ PESSOAS</t>
  </si>
  <si>
    <t>3.7.39</t>
  </si>
  <si>
    <t>INSTALAR E FORNECER PORTÃO PARA VEÍCULOS</t>
  </si>
  <si>
    <t>3.7.40</t>
  </si>
  <si>
    <t>INSTALAR RESERVATÓRIO DE ÁGUA EM SE</t>
  </si>
  <si>
    <t>3.7.41</t>
  </si>
  <si>
    <t>SERVICO RECUPERAR PORTAO P/ PESSOAS</t>
  </si>
  <si>
    <t>3.7.42</t>
  </si>
  <si>
    <t>RECUPERAR PORTÃO PARA VEÍCULOS</t>
  </si>
  <si>
    <t>3.7.43</t>
  </si>
  <si>
    <t xml:space="preserve">LIGAÇÃO PROV DE INST HIDRO-SANITÁRIA-SE </t>
  </si>
  <si>
    <t>3.7.44</t>
  </si>
  <si>
    <t>RECUPERAÇÃO DE ALAMBRADO</t>
  </si>
  <si>
    <t>3.7.45</t>
  </si>
  <si>
    <t>EXEC CISTERNA EM CONCRETO ARMADO 800L</t>
  </si>
  <si>
    <t>3.7.46</t>
  </si>
  <si>
    <t>INST. SIST. REFRIG AR SPLIT CC 24000BTUS</t>
  </si>
  <si>
    <t>3.7.47</t>
  </si>
  <si>
    <t>INSTALAÇÕES SANITÁRIAS EXTERNAS - E.T.E (INCLUSO CONEXÕES ,TUBULAÇÕES E CAIXAS DE PASSAGEM)</t>
  </si>
  <si>
    <t>3.7.48</t>
  </si>
  <si>
    <t>W.C. EXTERNO (INCLUSO ESTRUTURAL, HIDROSSANITÁRIO, ELÉTRICO, ESQUADRIAS E LOUÇAS)</t>
  </si>
  <si>
    <t>3.7.49</t>
  </si>
  <si>
    <t>CONSTRUÇÃO DA CASA DE COMANDO</t>
  </si>
  <si>
    <t>3.7.50</t>
  </si>
  <si>
    <t>CASA DE COMANDO PADRÃO - EQTL GO (CASA COMPLETA, INCLUINDO EQUIPAMENTOS, REDE DE ÁGUA E ESGOTO EXTERNAS, PARTE ELÉTRICA E AFINS)</t>
  </si>
  <si>
    <t>3.7.51</t>
  </si>
  <si>
    <t>CASA DE COMANDO - AMPLIAÇÃO</t>
  </si>
  <si>
    <t>3.7.52</t>
  </si>
  <si>
    <t>CONSTRUIR COM BLOCO DE CIMENTO 9X19X19</t>
  </si>
  <si>
    <t>3.7.53</t>
  </si>
  <si>
    <t>ESQUADRIAS - CONF. DESENHOS OCP-AA1.049</t>
  </si>
  <si>
    <t>3.7.54</t>
  </si>
  <si>
    <t>EXECUTAR COBERTA COM TELHA DE CERÂMICA</t>
  </si>
  <si>
    <t>3.7.55</t>
  </si>
  <si>
    <t>EXECUTAR COBERTA DE TELHA FIBROCIMENTO</t>
  </si>
  <si>
    <t>3.7.56</t>
  </si>
  <si>
    <t>EXEC PISO/REV. PAR. CER 20X20  A 45X45CM</t>
  </si>
  <si>
    <t>3.7.57</t>
  </si>
  <si>
    <t>CANALETAS INTERNAS C/ TAMPAS MET.</t>
  </si>
  <si>
    <t>3.7.58</t>
  </si>
  <si>
    <t>ELETRODUTOS INSTALADOS NO PISO</t>
  </si>
  <si>
    <t>3.7.59</t>
  </si>
  <si>
    <t>INSTALAÇÕES  DE ALARME E DETECTOR DE INCÊNDIO</t>
  </si>
  <si>
    <t>3.7.60</t>
  </si>
  <si>
    <t>INSTALAÇÕES SANITÁRIAS EXTERNAS INCLUSIVE FOSSA SÉPTICA, SUMIDOURO, TUBULAÇÕES E CAIXAS DE PASSAGEM.</t>
  </si>
  <si>
    <t>3.7.61</t>
  </si>
  <si>
    <t>BANHEIRO EXTERNO PARA SUBESTAÇÕES</t>
  </si>
  <si>
    <t>3.8</t>
  </si>
  <si>
    <t>ELETRODUTOS, CANALETAS E CAIXAS DE PASSAGEM</t>
  </si>
  <si>
    <t>3.8.1</t>
  </si>
  <si>
    <t>CONSTRUÇÃO CX DE PASSAGEM (60X60)</t>
  </si>
  <si>
    <t>3.8.2</t>
  </si>
  <si>
    <t>INST CANALETA PRÉ MOLDADA 400X600X1000MM</t>
  </si>
  <si>
    <t>3.8.3</t>
  </si>
  <si>
    <t>INST CANALETA PRÉ MOLDADA 600X600X1000MM</t>
  </si>
  <si>
    <t>3.8.4</t>
  </si>
  <si>
    <t>EXECUTAR CANALETA 400MM</t>
  </si>
  <si>
    <t>3.8.5</t>
  </si>
  <si>
    <t>EXECUTAR CANALETA 600MM</t>
  </si>
  <si>
    <t>3.8.6</t>
  </si>
  <si>
    <t>EXECUTAR DUTOS ENVELOPADOS 12X100MM</t>
  </si>
  <si>
    <t>3.8.7</t>
  </si>
  <si>
    <t>EXECUTAR DUTOS ENVELOPADOS 1X200MM</t>
  </si>
  <si>
    <t>3.8.8</t>
  </si>
  <si>
    <t>EXECUTAR DUTOS ENVELOPADOS 3X200MM</t>
  </si>
  <si>
    <t>3.8.9</t>
  </si>
  <si>
    <t>EXECUTAR DUTOS ENVELOPADOS 6X150MM</t>
  </si>
  <si>
    <t>3.8.10</t>
  </si>
  <si>
    <t>INSTALAR CONJUNTO DE DUTOS ENVELOPADOS</t>
  </si>
  <si>
    <t>3.8.11</t>
  </si>
  <si>
    <t>EXECUTAR CAIXA DE PASSAGEM 400MM X 400MM</t>
  </si>
  <si>
    <t>3.8.12</t>
  </si>
  <si>
    <t>EXECUTAR CAIXA DE PASSAGEM 600MM X 600MM</t>
  </si>
  <si>
    <t>3.8.13</t>
  </si>
  <si>
    <t>EXECUTAR CAIXA DE PASSAGEM 1M X 1M</t>
  </si>
  <si>
    <t>3.8.14</t>
  </si>
  <si>
    <t>EXEC CAN INT CASA DE CMD - 400 E 600 MM</t>
  </si>
  <si>
    <t>3.8.15</t>
  </si>
  <si>
    <t>CAIXA DE PASSAGEM CP1 - G-0-0-PJ-AJ-01</t>
  </si>
  <si>
    <t>3.8.16</t>
  </si>
  <si>
    <t>CAIXA DE PASSAGEM CP1R - G-0-0-PJ-AJ-01</t>
  </si>
  <si>
    <t>3.8.17</t>
  </si>
  <si>
    <t>CAIXA DE PASSAGEM CP2 - G-0-0-PJ-AJ-01</t>
  </si>
  <si>
    <t>3.8.18</t>
  </si>
  <si>
    <t>CAIXA DE PASSAGEM CP2R - G-0-0-PJ-AJ-01</t>
  </si>
  <si>
    <t>3.8.19</t>
  </si>
  <si>
    <t>CAIXA DE PASSAGEM CP3 - G-0-0-PJ-AJ-27</t>
  </si>
  <si>
    <t>3.8.20</t>
  </si>
  <si>
    <t>CAIXA DE PASSAGEM CP4 - G-0-0-PJ-AJ-04</t>
  </si>
  <si>
    <t>3.8.21</t>
  </si>
  <si>
    <t>CAIXA DE PASSAGEM CP5 - G-0-0-PJ-AJ-02</t>
  </si>
  <si>
    <t>3.8.22</t>
  </si>
  <si>
    <t>CAIXA DE PASSAGEM CP5R - G-0-0-PJ-AJ-02</t>
  </si>
  <si>
    <t>3.8.23</t>
  </si>
  <si>
    <t>CAIXA DE PASSAGEM CP6 - G-0-0-PJ-AJ-03</t>
  </si>
  <si>
    <t>3.8.24</t>
  </si>
  <si>
    <t>CAIXA DE PASSAGEM CP6R - G-0-0-PJ-AJ-03</t>
  </si>
  <si>
    <t>3.8.25</t>
  </si>
  <si>
    <t>CAIXA DE PASSAGEM CP7 - G-0-0-PJ-AJ-26</t>
  </si>
  <si>
    <t>3.8.26</t>
  </si>
  <si>
    <t>CAIXA DE PASSAGEM CPMT</t>
  </si>
  <si>
    <t>3.8.27</t>
  </si>
  <si>
    <t>CAIXA DE PASSAGEM CPMTR (REFORÇADA)</t>
  </si>
  <si>
    <t>3.8.28</t>
  </si>
  <si>
    <t>CANALETA EM BLOCO DE CONCRETO TIPO "A" - G-0-0-PJ-AJ-05</t>
  </si>
  <si>
    <t>3.8.29</t>
  </si>
  <si>
    <t>CANALETA EM BLOCO DE CONCRETO TIPO "A1" - G-0-0-PJ-AJ-36</t>
  </si>
  <si>
    <t>3.8.30</t>
  </si>
  <si>
    <t>CANALETA EM BLOCO DE CONCRETO TIPO "B" - G-0-0-PJ-AJ-05</t>
  </si>
  <si>
    <t>3.8.31</t>
  </si>
  <si>
    <t>CANALETA EM BLOCO DE CONCRETO TIPO "C" - G-0-0-PJ-AJ-05</t>
  </si>
  <si>
    <t>3.8.32</t>
  </si>
  <si>
    <t>CANALETA DE TRAVESSIA DE PISTA TIPO "A" - G-0-0-PJ-AJ-07</t>
  </si>
  <si>
    <t>3.8.33</t>
  </si>
  <si>
    <t>CANALETA DE TRAVESSIA DE PISTA TIPO "A3" - G-0-1-PJ-AJ-37</t>
  </si>
  <si>
    <t>3.8.34</t>
  </si>
  <si>
    <t>CANALETA DE TRAVESSIA DE PISTA TIPO "B" - G-0-0-PJ-AJ-07</t>
  </si>
  <si>
    <t>3.8.35</t>
  </si>
  <si>
    <t>CANALETA DE CONCRETO TIPO "AL" COM DIVISÃO INTERNA - G-0-0-PJ-AJ-08</t>
  </si>
  <si>
    <t>3.8.36</t>
  </si>
  <si>
    <t>CANALETA DE CABOS PARA SE MÓVEL - G-0-0-PJ-AJ-10</t>
  </si>
  <si>
    <t>3.8.37</t>
  </si>
  <si>
    <t>REFORÇO DE TAMPA DE CANALETA TIPO "A" - G-0-0-PJ-AJ-09</t>
  </si>
  <si>
    <t>3.8.38</t>
  </si>
  <si>
    <t>REFORÇO DE TAMPA DE CANALETA TIPO "B" - G-0-0-PJ-AJ-09</t>
  </si>
  <si>
    <t>3.8.39</t>
  </si>
  <si>
    <t>REFORÇO DE TAMPA DE CANALETA TIPO "C" - G-0-0-PJ-AJ-09</t>
  </si>
  <si>
    <t>3.8.40</t>
  </si>
  <si>
    <t>TAMPA DE CANALETA TIPO A - SUBSTITUIÇÃO DE TAMPAS QUEBRADAS</t>
  </si>
  <si>
    <t>3.8.41</t>
  </si>
  <si>
    <t>TAMPA DE CANALETA TIPO B - SUBSTITUIÇÃO DE TAMPAS QUEBRADAS</t>
  </si>
  <si>
    <t>3.8.42</t>
  </si>
  <si>
    <t>TAMPA DE CANALETA TIPO C - SUBSTITUIÇÃO DE TAMPAS QUEBRADAS</t>
  </si>
  <si>
    <t>3.8.43</t>
  </si>
  <si>
    <t>4 DUTOS Ø 150MM - G-0-0-PJ-AJ-25</t>
  </si>
  <si>
    <t>3.8.44</t>
  </si>
  <si>
    <t>6 DUTOS Ø 150MM - G-0-0-PJ-AJ-25</t>
  </si>
  <si>
    <t>3.8.45</t>
  </si>
  <si>
    <t>9 DUTOS Ø 150MM - G-0-0-PJ-AJ-25</t>
  </si>
  <si>
    <t>3.8.46</t>
  </si>
  <si>
    <t>12 DUTOS Ø 150MM - G-0-0-PJ-AJ-25</t>
  </si>
  <si>
    <t>3.8.47</t>
  </si>
  <si>
    <t>4 DUTOS Ø 110MM - G-0-0-PJ-AJ-29</t>
  </si>
  <si>
    <t>3.8.48</t>
  </si>
  <si>
    <t>6 DUTOS Ø 110MM - G-0-0-PJ-AJ-29</t>
  </si>
  <si>
    <t>3.8.49</t>
  </si>
  <si>
    <t>9 DUTOS Ø 110MM - G-0-0-PJ-AJ-29</t>
  </si>
  <si>
    <t>3.8.50</t>
  </si>
  <si>
    <t>12 DUTOS Ø 110MM - G-0-0-PJ-AJ-29</t>
  </si>
  <si>
    <t>3.8.51</t>
  </si>
  <si>
    <t>LIGAÇÃO DE CAIXA C/ 1 ELETRODUTO Ø 110MM</t>
  </si>
  <si>
    <t>3.9</t>
  </si>
  <si>
    <t>SISTEMA DE DRENAGEM</t>
  </si>
  <si>
    <t>3.9.1</t>
  </si>
  <si>
    <t>GALERIAS SIMPLES C/ TUBO DE CONC. Ø 20CM</t>
  </si>
  <si>
    <t>3.9.2</t>
  </si>
  <si>
    <t>INST MANILHA/ TUBO CONC SIMPL 200X1000MM</t>
  </si>
  <si>
    <t>3.9.3</t>
  </si>
  <si>
    <t>GALERIAS SIMPLES C/ TUBO DE CONC. Ø 30CM</t>
  </si>
  <si>
    <t>3.9.4</t>
  </si>
  <si>
    <t>INSTALAR TUBO DE CONCRETO SIMPLES (D=30C</t>
  </si>
  <si>
    <t>3.9.5</t>
  </si>
  <si>
    <t>GALERIAS SIMPLES COM TUBO DE CONCRETO Ø 40CM</t>
  </si>
  <si>
    <t>3.9.6</t>
  </si>
  <si>
    <t>GALERIAS SIMPLES COM TUBO DE CONCRETO Ø 50CM</t>
  </si>
  <si>
    <t>3.9.7</t>
  </si>
  <si>
    <t>GALERIAS SIMPLES COM TUBO DE CONCRETO Ø 60CM</t>
  </si>
  <si>
    <t>3.9.8</t>
  </si>
  <si>
    <t>INSTALAR TUBO DE CONCRETO SIMPLES (D=80C</t>
  </si>
  <si>
    <t>3.9.9</t>
  </si>
  <si>
    <t>VALA DE DRENO - TUBO POROSO OU FURADO Ø 15CM E BRITA 02</t>
  </si>
  <si>
    <t>3.9.10</t>
  </si>
  <si>
    <t>VALA DE DRENO - TUBO POROSO OU FURADO Ø 20CM E BRITA 02</t>
  </si>
  <si>
    <t>3.9.11</t>
  </si>
  <si>
    <t>VALA DE DRENO - TUBO POROSO OU FURADO Ø 30CM E BRITA 02</t>
  </si>
  <si>
    <t>3.9.12</t>
  </si>
  <si>
    <t>CONSTRUIR CAIXA DE DRENAGEM</t>
  </si>
  <si>
    <t>3.9.13</t>
  </si>
  <si>
    <t>EXEC CAIXA DE PASSAGEM/BOCA DE LOBO 1X1M</t>
  </si>
  <si>
    <t>3.9.14</t>
  </si>
  <si>
    <t>3.9.15</t>
  </si>
  <si>
    <t>3.9.16</t>
  </si>
  <si>
    <t>INSTALAR LINHA DE DRENO SECO EM SE</t>
  </si>
  <si>
    <t>3.9.17</t>
  </si>
  <si>
    <t>EXECUTAR VALETA E BACIA DISSIPAÇÃO</t>
  </si>
  <si>
    <t>3.9.18</t>
  </si>
  <si>
    <t xml:space="preserve">CALHA TIPO MEIO-TUBO DE CONCRETO Ø 40CM </t>
  </si>
  <si>
    <t>3.9.19</t>
  </si>
  <si>
    <t xml:space="preserve">CALHA TIPO MEIO-TUBO DE CONCRETO Ø 60CM </t>
  </si>
  <si>
    <t>3.9.20</t>
  </si>
  <si>
    <t>TUBO DRENO, CORRUGADO, ESPIRALADO, FLEXIVEL, PERFURADO EM PEAD Ø DE 8" (200MM)</t>
  </si>
  <si>
    <t>3.9.21</t>
  </si>
  <si>
    <t>TUBO DRENO, CORRUGADO, ESPIRALADO, FLEXIVEL, PERFURADO EM PEAD Ø DE 12" (300MM)</t>
  </si>
  <si>
    <t>3.9.22</t>
  </si>
  <si>
    <t>TUBO DRENO, CORRUGADO, ESPIRALADO, FLEXIVEL, PERFURADO EM PEAD Ø DE 16" (400MM)</t>
  </si>
  <si>
    <t>3.9.23</t>
  </si>
  <si>
    <t>CONSTRUIR BOCA DE MANILHA EM SE</t>
  </si>
  <si>
    <t>3.9.24</t>
  </si>
  <si>
    <t>BOCAS DE LOBO</t>
  </si>
  <si>
    <t>3.9.25</t>
  </si>
  <si>
    <t>CAIXA DE PASSAGEM  0,40X0,40X0,75 M  MEDIDAS INTERNAS COM GRELHA DE FERRO</t>
  </si>
  <si>
    <t>3.9.26</t>
  </si>
  <si>
    <t>CAIXA DE PASSAGEM  0,70X0,90X1,00 M  MEDIDAS EXTERNAS COM GRELHA DE FERRO</t>
  </si>
  <si>
    <t>3.9.27</t>
  </si>
  <si>
    <t>DISSIPADOR</t>
  </si>
  <si>
    <t>3.9.28</t>
  </si>
  <si>
    <t>VALETA DE CONTRIBUIÇÃO BRITA 02 (PROFUNDIDADE VARÁVEL)</t>
  </si>
  <si>
    <t>3.9.29</t>
  </si>
  <si>
    <t>TRINCHEIRA DE INFILTRAÇÃO</t>
  </si>
  <si>
    <t>3.9.30</t>
  </si>
  <si>
    <t>INSTALAR TUBO DE PVC DE 100MM</t>
  </si>
  <si>
    <t>3.9.31</t>
  </si>
  <si>
    <t>INSTALAR TUBO DE PVC DE 150MM</t>
  </si>
  <si>
    <t>3.9.32</t>
  </si>
  <si>
    <t>INSTALAR TUBO DE PVC DE 200MM</t>
  </si>
  <si>
    <t>3.9.33</t>
  </si>
  <si>
    <t>DEMOLIÇÃO DE TUBULAÇÕES</t>
  </si>
  <si>
    <t>3.9.34</t>
  </si>
  <si>
    <t>DEMOLIÇÃO DE CAIXAS E DISSIPADORES</t>
  </si>
  <si>
    <t>3.9.35</t>
  </si>
  <si>
    <t>DEMOLIR CAIXA DE DRENAGEM</t>
  </si>
  <si>
    <t>3.9.36</t>
  </si>
  <si>
    <t>CONSTRUIR POÇO DE VISITA 100X100CM</t>
  </si>
  <si>
    <t>3.9.37</t>
  </si>
  <si>
    <t>CONSTRUIR VALETA PARA ESCOAMENTO DE ÁGUA</t>
  </si>
  <si>
    <t>3.9.38</t>
  </si>
  <si>
    <t>POÇO DE INFILTRAÇÃO</t>
  </si>
  <si>
    <t>3.9.39</t>
  </si>
  <si>
    <t>SINALIZADOR DE CONCRETO - PILARETE DE CONCRETO 12X12X120</t>
  </si>
  <si>
    <t>3.9.40</t>
  </si>
  <si>
    <t>CAIXA DE PASSAGEM/INSPEÇÃO</t>
  </si>
  <si>
    <t>3.9.41</t>
  </si>
  <si>
    <t>CAIXA DE PASSAGEM/INSPEÇÃO REFORÇADA</t>
  </si>
  <si>
    <t>3.10</t>
  </si>
  <si>
    <t>URBANIZAÇÃO E BENFEITORIAS</t>
  </si>
  <si>
    <t>3.10.1</t>
  </si>
  <si>
    <t xml:space="preserve">REGULARIZAÇÃO DO TERRENO E APLICAÇÃO DE BLOCOS DE CONCRETO TIPO PAVER COM ASSENTAMENTO EM CAMADA DE AREIA MÉDIA LAVADA (E=5CM), E REJUNTE COM AREIA OU PÓ DE BRITA. </t>
  </si>
  <si>
    <t>3.10.2</t>
  </si>
  <si>
    <t>PLANTIO DE GRAMA EM PLACAS - TALUDE</t>
  </si>
  <si>
    <t>3.10.3</t>
  </si>
  <si>
    <t>MURO 2,50 M TIPO - G-0-0-PJ-AJ-17</t>
  </si>
  <si>
    <t>3.10.4</t>
  </si>
  <si>
    <t>MURO PRÉ-MOLDADO, VÃO DE 3 METROS E ALTURA DE 2,50M</t>
  </si>
  <si>
    <t>3.10.5</t>
  </si>
  <si>
    <t>MURO PRÉ-MOLDADO, VÃO DE 6 METROS E ALTURA DE 2,50M</t>
  </si>
  <si>
    <t>3.10.6</t>
  </si>
  <si>
    <t>CONCERTINA SIMPLES GALVANIZADA DIÂMETRO DE 450MM</t>
  </si>
  <si>
    <t>3.10.7</t>
  </si>
  <si>
    <t>PORTÕES EXTERNOS DE VEÍCULOS, COM 6,00M, INCLUSIVE BASES E PILARES - G-0-0-PJ-AJ-15</t>
  </si>
  <si>
    <t>3.10.8</t>
  </si>
  <si>
    <t>PORTÃO DE  FERRO CHAPA GALVANIZADA Nº 18 (6 X 2,40 M), COMPLETO COM FECHADURA</t>
  </si>
  <si>
    <t>3.10.9</t>
  </si>
  <si>
    <t>CERCA EXTERNA TIPO ALAMBRADO COM MURETA 15X30CM - G-0-0-PJ-AJ-11</t>
  </si>
  <si>
    <t>3.10.10</t>
  </si>
  <si>
    <t>DEMOLIÇÃO CERCA EXT E DESCARTE ADEQUADO</t>
  </si>
  <si>
    <t>3.10.11</t>
  </si>
  <si>
    <t>REMOÇÃO DO ALAMBRADO</t>
  </si>
  <si>
    <t>3.10.12</t>
  </si>
  <si>
    <t>CONSTRUIR CAIXA DE SARJETA EM SE</t>
  </si>
  <si>
    <t>3.10.13</t>
  </si>
  <si>
    <t>SARJETA - CONCRETO</t>
  </si>
  <si>
    <t>3.10.14</t>
  </si>
  <si>
    <t>MEIO-FIO DE CONCRETO PRÉ-MOLDADO FCK=20 MPA - G-0-0-PJ-AJ-06</t>
  </si>
  <si>
    <t>3.10.15</t>
  </si>
  <si>
    <t>DEMOLIÇÃO DE MEIO-FIO</t>
  </si>
  <si>
    <t>3.10.16</t>
  </si>
  <si>
    <t>CONSTRUÇÃO DE RAMPA DE ACESSO</t>
  </si>
  <si>
    <t>3.10.17</t>
  </si>
  <si>
    <t>CONFECCIONAR TAMPA DE CONCRETO</t>
  </si>
  <si>
    <t>3.10.18</t>
  </si>
  <si>
    <t>RECOMPOSIÇÃO E/OU CONSTRUÇÃO DE MEIO-FIO "IN LOCO".</t>
  </si>
  <si>
    <t>3.10.19</t>
  </si>
  <si>
    <t>MEIO FIO - PINTURA COM CAL HIDRATADA  E FIXADOR</t>
  </si>
  <si>
    <t>3.10.20</t>
  </si>
  <si>
    <t>REMOÇÃO E ESTOQUE DO LASTRO DE BRITA</t>
  </si>
  <si>
    <t>3.10.21</t>
  </si>
  <si>
    <t>FONECER E ESPALHAR BRITA N° 2 EM PÁTIO</t>
  </si>
  <si>
    <t>3.10.22</t>
  </si>
  <si>
    <t>REALOCAR E ESPALHAR BRITA NO PÁTIO DE SE</t>
  </si>
  <si>
    <t>3.10.23</t>
  </si>
  <si>
    <t>FORNECIMENTO E APLICAÇÃO DE BRITA Nº 2</t>
  </si>
  <si>
    <t>3.10.24</t>
  </si>
  <si>
    <t>PINTURA DE PAREDE EM LATEX 100% ACRÍLICA 1ª LINHA DUAS DEMÃOS, C/ CORREÇÃO C/ MASSA PVA (BASES DE EQUIPAMENTOS)</t>
  </si>
  <si>
    <t>3.10.25</t>
  </si>
  <si>
    <t>PINTURA DE TETO 1ª LINHA 1 DEMÃO</t>
  </si>
  <si>
    <t>3.10.26</t>
  </si>
  <si>
    <t>PINTURA GERAL EM ESMALTE SOBRE MADEIRA</t>
  </si>
  <si>
    <t>3.10.27</t>
  </si>
  <si>
    <t>PINT. GERAL EM ESMALTE ESQUADRIAS MET.</t>
  </si>
  <si>
    <t>3.10.28</t>
  </si>
  <si>
    <t>PINTURA EXTERNA COM TEXTURA</t>
  </si>
  <si>
    <t>3.10.29</t>
  </si>
  <si>
    <t>SUBSTITUIÇÃO DE ESQUAD. DE MAD. (PORTAS)</t>
  </si>
  <si>
    <t>3.10.30</t>
  </si>
  <si>
    <t>PREPARO DO PISO E PAVIMENTAÇÃO COM BLOCOS DE CONCRETO PRÉ-MOLDADO SEXTAVADO - E=10CM  FCK=ACIMA DE 22MPA</t>
  </si>
  <si>
    <t>3.10.31</t>
  </si>
  <si>
    <t>DEMOLIÇÃO DE CONCRETO ARMADO E BASES DE POSTES, TRAFO, ESTRUTURAS E SIMILARES, VIGA TRILHO</t>
  </si>
  <si>
    <t>3.10.32</t>
  </si>
  <si>
    <t>DEMOLIÇÃO DE CANALETAS</t>
  </si>
  <si>
    <t>3.10.33</t>
  </si>
  <si>
    <t>RETIRAR BLOCOS SEXTAVADO DA PISTA SE</t>
  </si>
  <si>
    <t>3.10.34</t>
  </si>
  <si>
    <t>FORNECIMENTO DE BLOCOS DE CONCRETO PRÉ-MOLDADO SEXTAVADO - E=10CM  FCK=ACIMA DE 35MPA</t>
  </si>
  <si>
    <t>3.10.35</t>
  </si>
  <si>
    <t>FORNECIMENTO DE BLOCOS DE CONCRETO TIPO PAVER E = 8 CM 50 MPA</t>
  </si>
  <si>
    <t>3.10.36</t>
  </si>
  <si>
    <t>FORNECIMENTO DE BLOCOS DE CONCRETO TIPO PAVER E = 10 CM 50 MPA</t>
  </si>
  <si>
    <t>3.10.37</t>
  </si>
  <si>
    <t>LIMPEZA DIÁRIA DA OBRA</t>
  </si>
  <si>
    <t>3.10.38</t>
  </si>
  <si>
    <t>MURO DE ARRIMO SOB MURO EXTERNO - 2M - G-0-1-PJ-AJ-34</t>
  </si>
  <si>
    <t>3.10.39</t>
  </si>
  <si>
    <t>MURO DE ARRIMO - 2M - G-0-1-PJ-AJ-35</t>
  </si>
  <si>
    <t>3.10.40</t>
  </si>
  <si>
    <t>REV. TALUDE CONC. E=10CM E ARM. C/ TELA</t>
  </si>
  <si>
    <t>3.10.41</t>
  </si>
  <si>
    <t>TALUDE - CONCRETO</t>
  </si>
  <si>
    <t>3.10.42</t>
  </si>
  <si>
    <t>INSTALAÇÃO DE TRILHOS TR-25, TR-32, TR-37 E  TR-57</t>
  </si>
  <si>
    <t>3.10.43</t>
  </si>
  <si>
    <t>REMOÇÃO DE ÁRVORE</t>
  </si>
  <si>
    <t>3.10.44</t>
  </si>
  <si>
    <t>DEMOLIÇÃO DE MURO COM RETIRADA DA CONCERTINA</t>
  </si>
  <si>
    <t>3.11</t>
  </si>
  <si>
    <t>SISTEMA DE COLETA DE ÓLEO ISOLANTE</t>
  </si>
  <si>
    <t>3.11.1</t>
  </si>
  <si>
    <t>CAIXA COLETORA DE ÓLEO PARA TRAFOS 34,5KV</t>
  </si>
  <si>
    <t>3.11.2</t>
  </si>
  <si>
    <t>CAIXA COLETORA DE ÓLEO PARA TRAFOS 69KV</t>
  </si>
  <si>
    <t>3.11.3</t>
  </si>
  <si>
    <t>CAIXA COLETORA DE ÓLEO PARA TRAFOS 138KV</t>
  </si>
  <si>
    <t>3.11.4</t>
  </si>
  <si>
    <t>CAIXA SEPARADORA DE ÁGUA E ÓLEO TIPO 02 - G-0-0-PJ-DR-02</t>
  </si>
  <si>
    <t>3.11.5</t>
  </si>
  <si>
    <t>CAIXA SEPARADORA DE ÁGUA E ÓLEO TIPO 03 - G-0-0-PJ-DR-03</t>
  </si>
  <si>
    <t>3.11.6</t>
  </si>
  <si>
    <t xml:space="preserve">CAIXA SEPARADORA DE ÁGUA E ÓLEO PARA 22 M³ - G-0-0-PJ-DR-07 </t>
  </si>
  <si>
    <t>3.11.7</t>
  </si>
  <si>
    <t>CAIXA DE PASSAGEM CP8</t>
  </si>
  <si>
    <t>3.11.8</t>
  </si>
  <si>
    <t>TUBO DE FERRO FUNDIDO DE 200 MM A 250 MM</t>
  </si>
  <si>
    <t>3.11.9</t>
  </si>
  <si>
    <t>INSTALAR TUBO 150 DE FERRO GALVANIZADO</t>
  </si>
  <si>
    <t>3.11.10</t>
  </si>
  <si>
    <t>TUBOS DE FERRO GALVANIZADO Ø  ATÉ 150 MM, ENTERRADO EM VALAS COM PROFUNDIDADE MÉDIA DE 40 CM.</t>
  </si>
  <si>
    <t>3.11.11</t>
  </si>
  <si>
    <t>TUBOS DE FºGº Ø ATÉ 250 MM, ENTERRADO</t>
  </si>
  <si>
    <t>3.11.12</t>
  </si>
  <si>
    <t>TUBO EM AÇO GALVAN. DE 200 MM A 250 MM</t>
  </si>
  <si>
    <t>3.12</t>
  </si>
  <si>
    <t>SISTEMA DE PROTEÇÃO CONTRA INCÊNDIO</t>
  </si>
  <si>
    <t>3.12.1</t>
  </si>
  <si>
    <t>INSTALAR E FORNECER SINALIZAÇÕES</t>
  </si>
  <si>
    <t>3.12.2</t>
  </si>
  <si>
    <t>INSTALAR E FORNECER EXTINTOR DE CO2 6KG</t>
  </si>
  <si>
    <t>3.12.3</t>
  </si>
  <si>
    <t>INST E FORNECER EXTINTOR PÓ QUIMICO 12KG</t>
  </si>
  <si>
    <t>3.12.4</t>
  </si>
  <si>
    <t>INST E FORNECER EXTINTOR PÓ QUIMICO 30KG</t>
  </si>
  <si>
    <t>3.12.5</t>
  </si>
  <si>
    <t>INSTALAR E FORNECER EXTINTOR ABC 12KG</t>
  </si>
  <si>
    <t>3.12.6</t>
  </si>
  <si>
    <t>CONJUNTO DE PAREDE CORTA-FOGO PARA TRAFO 138 KV</t>
  </si>
  <si>
    <t>3.12.7</t>
  </si>
  <si>
    <t>EXECUTAR ABRIGO PARA EXTINTOR DE SE</t>
  </si>
  <si>
    <t>3.12.8</t>
  </si>
  <si>
    <t>ABRIGO PARA EXTINTOR DE INCÊNDIO</t>
  </si>
  <si>
    <t>3.12.9</t>
  </si>
  <si>
    <t>INST E FORNECER EXTINTOR PÓ QUIMICO 50KG</t>
  </si>
  <si>
    <t>3.12.10</t>
  </si>
  <si>
    <t>EXTINTOR PQS DE 50KG</t>
  </si>
  <si>
    <t>3.13</t>
  </si>
  <si>
    <t>EVENTUAIS</t>
  </si>
  <si>
    <t>3.13.1</t>
  </si>
  <si>
    <t>PLACAS DE ADVERTÊNCIA</t>
  </si>
  <si>
    <t>3.13.2</t>
  </si>
  <si>
    <t>PINTURA MURO COM NOME DA SUBESTAÇÃO (INCLUINDO REBOCO)</t>
  </si>
  <si>
    <t>4.0</t>
  </si>
  <si>
    <t>SERVIÇOS ELETROMECÂNICOS (FATOR "EM")</t>
  </si>
  <si>
    <t>4.1</t>
  </si>
  <si>
    <t>MONTAGEM ELETROMECÂNICAS</t>
  </si>
  <si>
    <t>4.1.1</t>
  </si>
  <si>
    <t>ESTRUTURA SUPORTE DE  EQUIPAMENTOS E BARRAMENTOS</t>
  </si>
  <si>
    <t>4.1.1.1</t>
  </si>
  <si>
    <t>MONT. SUPORTE METÁLICO PARA MUFLAS 15 KV</t>
  </si>
  <si>
    <t>4.1.1.2</t>
  </si>
  <si>
    <t>MONT. SUPORTE METÁLICO PARA TC</t>
  </si>
  <si>
    <t>4.1.1.3</t>
  </si>
  <si>
    <t xml:space="preserve">MONT. POSTE DE CONCRETO, DE 14 A 23 M, </t>
  </si>
  <si>
    <t>4.1.1.4</t>
  </si>
  <si>
    <t xml:space="preserve">MONT. POSTE DE CONCRETO, DE 10 A 14 M, </t>
  </si>
  <si>
    <t>4.1.1.5</t>
  </si>
  <si>
    <t>MONT. COLUNA E VIGA METÁLICA TRELIÇADA,</t>
  </si>
  <si>
    <t>4.1.1.6</t>
  </si>
  <si>
    <t>MONT. VIGA DE CONCRETO, DE 10 A 14 M TIPO "DT",</t>
  </si>
  <si>
    <t>4.1.1.7</t>
  </si>
  <si>
    <t xml:space="preserve">MONT. COLUNA DE CONCRETO, DE 20 A 25 M, </t>
  </si>
  <si>
    <t>4.1.1.8</t>
  </si>
  <si>
    <t>INSTALAR ESTRUT PRIM CRUZETA DUPLA LM</t>
  </si>
  <si>
    <t>4.1.1.9</t>
  </si>
  <si>
    <t>INSTALAR ESTRUT PRI CRUZETA SIMPLES LM</t>
  </si>
  <si>
    <t>4.1.1.10</t>
  </si>
  <si>
    <t>IMPLANTAÇÃO DE ESTRUTURA - URBANO</t>
  </si>
  <si>
    <t>4.1.1.11</t>
  </si>
  <si>
    <t>IMPLANTAÇÃO DE ESTRUTURA - RURAL</t>
  </si>
  <si>
    <t>4.1.1.12</t>
  </si>
  <si>
    <t xml:space="preserve">MONT. POSTE DE CONCRETO, DE 5 A 10 M, </t>
  </si>
  <si>
    <t>4.1.2</t>
  </si>
  <si>
    <t>SISTEMA DE ATERRAMENTO</t>
  </si>
  <si>
    <t>4.1.2.1</t>
  </si>
  <si>
    <t>REDE DE PROTEÇÃO AÉREA</t>
  </si>
  <si>
    <t>4.1.2.1.1</t>
  </si>
  <si>
    <t>LANC. CABO DE AÇO</t>
  </si>
  <si>
    <t>4.1.2.2</t>
  </si>
  <si>
    <t>REDE  DE MALHA DE TERRA</t>
  </si>
  <si>
    <t>4.1.2.2.1</t>
  </si>
  <si>
    <t>CONEXÃO DE EQUIPAMENTOS OU ESTRUTURAS A MALHA DE TERRA</t>
  </si>
  <si>
    <t>4.1.2.2.2</t>
  </si>
  <si>
    <t>MONT. HASTE DE COBRE, COM DIÂMETRO ATÉ 3/4"</t>
  </si>
  <si>
    <t>4.1.2.2.3</t>
  </si>
  <si>
    <t>EXECUÇÃO DE MALHA DE ATERRAMENTO</t>
  </si>
  <si>
    <t>4.1.2.2.4</t>
  </si>
  <si>
    <t>INST SECCION E ATERRAM CERCA LM</t>
  </si>
  <si>
    <t>4.1.3</t>
  </si>
  <si>
    <t>BARRAMENTO</t>
  </si>
  <si>
    <t>4.1.3.1</t>
  </si>
  <si>
    <t xml:space="preserve">LANC. CABO DE ALUMÍNIO, ATÉ 1000 MCM, </t>
  </si>
  <si>
    <t>4.1.3.2</t>
  </si>
  <si>
    <t>MONT. CADEIA DE ISOLADORES 138 KV</t>
  </si>
  <si>
    <t>4.1.3.3</t>
  </si>
  <si>
    <t>MONT. CADEIA DE ISOLADORES 13,8 KV.</t>
  </si>
  <si>
    <t>4.1.3.4</t>
  </si>
  <si>
    <t>MONT. CADEIA DE ISOLADORES 34,5kV E 69kV</t>
  </si>
  <si>
    <t>4.1.3.5</t>
  </si>
  <si>
    <t>MONT. ENFAIXAMENTO TERMINAL PARA CABO ISOLADO</t>
  </si>
  <si>
    <t>4.1.3.6</t>
  </si>
  <si>
    <t>MONT. ISOLADOR DE PEDESTAL 13,8 KV E 34,5KV</t>
  </si>
  <si>
    <t>4.1.3.7</t>
  </si>
  <si>
    <t>MONT. ISOLADOR DE PEDESTAL TIPO COLUNA 138 KV</t>
  </si>
  <si>
    <t>4.1.3.8</t>
  </si>
  <si>
    <t xml:space="preserve">MONT. ISOLADOR DE PEDESTAL TIPO COLUNA 69 KV </t>
  </si>
  <si>
    <t>4.1.3.9</t>
  </si>
  <si>
    <t>MONT. TUBO DE ALUMÍNIO, ATÉ 69 MM,</t>
  </si>
  <si>
    <t>4.1.3.10</t>
  </si>
  <si>
    <t>MONT. TUBO DE ALUMÍNIO, DE 70 A 110 MM,</t>
  </si>
  <si>
    <t>4.1.3.11</t>
  </si>
  <si>
    <t>MONT. CHAVE FUSÍVEL UNIPOLAR</t>
  </si>
  <si>
    <t>4.1.3.12</t>
  </si>
  <si>
    <t>MONT. PARA-RAIOS TIPO DISTRIBUIÇÃO E ESTAÇÃO 13,8 KV E 34,5KV</t>
  </si>
  <si>
    <t>4.1.3.13</t>
  </si>
  <si>
    <t xml:space="preserve">LANC. CABO ISOLADO, DE 100 MM² A 630 MM², </t>
  </si>
  <si>
    <t>4.1.3.14</t>
  </si>
  <si>
    <t>INST ISOLADOR ROLDANA LM</t>
  </si>
  <si>
    <t>4.1.3.15</t>
  </si>
  <si>
    <t>MONT. CADEIA DE DISCOS ISOL. 69 E 138KV</t>
  </si>
  <si>
    <t>4.1.3.16</t>
  </si>
  <si>
    <t>INST COND COB RD COMPACTA 150MM2 LM</t>
  </si>
  <si>
    <t>4.1.3.17</t>
  </si>
  <si>
    <t>INST FLY TAP/CRUZAM AEREO COND NU LM</t>
  </si>
  <si>
    <t>4.1.3.18</t>
  </si>
  <si>
    <t>INST ESPACADOR/AFASTADOR REDE PRI/SEC LM</t>
  </si>
  <si>
    <t>4.1.3.19</t>
  </si>
  <si>
    <t>INST ESTRIBO OU GRAMPO LINHA VIVA RD LM</t>
  </si>
  <si>
    <t>4.1.4</t>
  </si>
  <si>
    <t>EQUIPAMENTOS DO PÁTIO</t>
  </si>
  <si>
    <t>4.1.4.1</t>
  </si>
  <si>
    <t>GERAL</t>
  </si>
  <si>
    <t>4.1.4.1.1</t>
  </si>
  <si>
    <t>INSTALAR PLACA NUMERO COMPONENTE</t>
  </si>
  <si>
    <t>4.1.4.1.2</t>
  </si>
  <si>
    <t>INST RELIGADOR/SECCIONADOR 3F LM</t>
  </si>
  <si>
    <t>4.1.4.1.3</t>
  </si>
  <si>
    <t>INST REATOR POSTE/PLATAF LM</t>
  </si>
  <si>
    <t>4.1.4.1.4</t>
  </si>
  <si>
    <t>INST TRAFO DT POSTE/PLATAF 1/2F LM</t>
  </si>
  <si>
    <t>4.1.4.1.5</t>
  </si>
  <si>
    <t>INST TRAFO DT POSTE/PLATAF 3F LM</t>
  </si>
  <si>
    <t>4.1.4.1.6</t>
  </si>
  <si>
    <t xml:space="preserve">SERV INST/CONFEC PLACA OPERAC EQUIP SE </t>
  </si>
  <si>
    <t>4.1.4.1.7</t>
  </si>
  <si>
    <t>INSTALAR CAIXA DE DERIVAÇÃO PARA TC/TP</t>
  </si>
  <si>
    <t>4.1.4.1.8</t>
  </si>
  <si>
    <t>INSTALAR ELETRODUTO ACIMA DE 2"</t>
  </si>
  <si>
    <t>4.1.4.1.9</t>
  </si>
  <si>
    <t>INSTALAR ELETRODUTO ATÉ 1"</t>
  </si>
  <si>
    <t>4.1.4.1.10</t>
  </si>
  <si>
    <t>INSTALAR ELETRODUTO DE 1 1/2" ATÉ 2"</t>
  </si>
  <si>
    <t>4.1.4.2</t>
  </si>
  <si>
    <t>SETOR DE 69 kV E 138 kV</t>
  </si>
  <si>
    <t>4.1.4.2.1</t>
  </si>
  <si>
    <t>MONT. CHAVE TRIPOLAR MANUAL 138 KV</t>
  </si>
  <si>
    <t>4.1.4.2.2</t>
  </si>
  <si>
    <t>MONT. CHAVE TRIPOLAR MANUAL 69KV</t>
  </si>
  <si>
    <t>4.1.4.2.3</t>
  </si>
  <si>
    <t>MONT. DISJUNTOR TRIPOLAR 138 KV</t>
  </si>
  <si>
    <t>4.1.4.2.4</t>
  </si>
  <si>
    <t>MONT. TRANSFORMADOR 3F DE 31 A 70 MVA, 69KV OU 138 KV</t>
  </si>
  <si>
    <t>4.1.4.2.5</t>
  </si>
  <si>
    <t>MONT. TRANSFORMADOR 3F ATÉ 35 MVA, 69KV OU 138 KV</t>
  </si>
  <si>
    <t>4.1.4.2.6</t>
  </si>
  <si>
    <t>MONT. CHAVE SECCIONADORA TRIPOLAR 138 KV</t>
  </si>
  <si>
    <t>4.1.4.2.7</t>
  </si>
  <si>
    <t>MONT. CHAVE SECCIONADORA TRIPOLAR 69 KV</t>
  </si>
  <si>
    <t>4.1.4.2.8</t>
  </si>
  <si>
    <t>MONT. DISJUNTOR TRIPOLAR 69 KV</t>
  </si>
  <si>
    <t>4.1.4.2.9</t>
  </si>
  <si>
    <t>MONT. PARA-RAIOS 138 KV</t>
  </si>
  <si>
    <t>4.1.4.2.10</t>
  </si>
  <si>
    <t>MONT. PARA-RAIOS  69 KV</t>
  </si>
  <si>
    <t>4.1.4.2.11</t>
  </si>
  <si>
    <t>MONT. TRANSFORMADOR DE MEDIDA 138 KV</t>
  </si>
  <si>
    <t>4.1.4.2.12</t>
  </si>
  <si>
    <t>MONT. TRANSFORMADOR DE MEDIDA  69 KV</t>
  </si>
  <si>
    <t>4.1.4.2.13</t>
  </si>
  <si>
    <t>TRATAMENTO DE ÓLEO DO TRANSFORMADOR</t>
  </si>
  <si>
    <t>L</t>
  </si>
  <si>
    <t>4.1.4.2.14</t>
  </si>
  <si>
    <t>INSTALAR BANCO DE CAPACITORES DE 138 KV</t>
  </si>
  <si>
    <t>4.1.4.2.15</t>
  </si>
  <si>
    <t>MONT. BANCO DE CAPACITOR  69kV</t>
  </si>
  <si>
    <t>4.1.4.2.16</t>
  </si>
  <si>
    <t>INSTALAR BANCO DE REATORAS</t>
  </si>
  <si>
    <t>4.1.4.2.17</t>
  </si>
  <si>
    <t>INSTALAR REATOR DE POTÊNCIA 69 KV</t>
  </si>
  <si>
    <t>4.1.4.2.18</t>
  </si>
  <si>
    <t xml:space="preserve">INSTALAR REATOR DE POTÊNCIA 138 KV </t>
  </si>
  <si>
    <t>4.1.4.3</t>
  </si>
  <si>
    <t>SETOR DE 13,8 kV E 34,5 kV</t>
  </si>
  <si>
    <t>4.1.4.3.1</t>
  </si>
  <si>
    <t>MONT. CHAVE SECC. TRIPOLAR MANUAL 13,8 KV E 34,5KV</t>
  </si>
  <si>
    <t>4.1.4.3.2</t>
  </si>
  <si>
    <t xml:space="preserve">MONT. TRANSFORMADOR 3F DE 5 A 25 MVA, 34,5 KV </t>
  </si>
  <si>
    <t>4.1.4.3.3</t>
  </si>
  <si>
    <t>MONT. CHAVE SECCIONADORA MONOFÁSICA 13,8 KV E 34,5KV</t>
  </si>
  <si>
    <t>4.1.4.3.4</t>
  </si>
  <si>
    <t>MONT. CHAVE FUSÍVEL UNIPOLAR  13,8 KV E 34,5 KV</t>
  </si>
  <si>
    <t>4.1.4.3.5</t>
  </si>
  <si>
    <t>INSTALAR BANCO DE CAPACITORES EM POSTE</t>
  </si>
  <si>
    <t>4.1.4.3.6</t>
  </si>
  <si>
    <t>MONT. CHAVE SECCIONADORA TRIPOLAR 13,8 KV E 34,5KV</t>
  </si>
  <si>
    <t>4.1.4.3.7</t>
  </si>
  <si>
    <t>MONT. DISJUNTOR TRIPOLAR 13,8 KV E 34,5KV</t>
  </si>
  <si>
    <t>4.1.4.3.8</t>
  </si>
  <si>
    <t>MONT. TRANSFORMADOR DE MEDIDAS 13,8 KV E 34,5KV</t>
  </si>
  <si>
    <t>4.1.4.3.9</t>
  </si>
  <si>
    <t>MONT. RELIGADOR TRIPOLAR ATÉ 34,5 kV</t>
  </si>
  <si>
    <t>4.1.4.3.10</t>
  </si>
  <si>
    <t>INSTALAR REATOR DE POTÊNCIA 34,5 KV</t>
  </si>
  <si>
    <t>4.1.4.3.11</t>
  </si>
  <si>
    <t>INSTALAR BANCO DE CAPACITORES 13,8kV</t>
  </si>
  <si>
    <t>4.1.4.3.12</t>
  </si>
  <si>
    <t>INSTALAR BANCO DE CAPACITORES 34,5kV</t>
  </si>
  <si>
    <t>4.1.5</t>
  </si>
  <si>
    <t>SISTEMA DE ALIMENTAÇÃO DE ENERGIA</t>
  </si>
  <si>
    <t>4.1.5.1</t>
  </si>
  <si>
    <t>GRUPO MOTOR E GERADOR</t>
  </si>
  <si>
    <t>4.1.5.1.1</t>
  </si>
  <si>
    <t xml:space="preserve">LANC. CABO ISOLADO 1 KV, DE 90 A 240 MM²,  </t>
  </si>
  <si>
    <t>4.1.5.1.2</t>
  </si>
  <si>
    <t>MONT. GRUPO GERADOR DIESEL, CARENADO</t>
  </si>
  <si>
    <t>4.1.5.1.3</t>
  </si>
  <si>
    <t>MONT. PAINEL DE CONTROLE DO GRUPO DIESEL</t>
  </si>
  <si>
    <t>4.1.5.2</t>
  </si>
  <si>
    <t>TRANSFORMADORES DE SERVIÇOS AUXILIARES</t>
  </si>
  <si>
    <t>4.1.5.2.1</t>
  </si>
  <si>
    <t xml:space="preserve">LANC. CABO ISOLADO 1KV, ATÉ 240 MM², </t>
  </si>
  <si>
    <t>4.1.5.2.2</t>
  </si>
  <si>
    <t xml:space="preserve">MONT. TRAFO DE SERVIÇO AUXILIAR EM 13,8 KV E 34,5 KV, </t>
  </si>
  <si>
    <t>4.1.6</t>
  </si>
  <si>
    <t>SISTEMA DE SERVIÇOS DE ILUMINAÇÃO E/OU FORÇA</t>
  </si>
  <si>
    <t>4.1.6.1</t>
  </si>
  <si>
    <t>MONT. LUMINÁRIA PROJETOR E TOMADA, COMPLETA</t>
  </si>
  <si>
    <t>4.1.6.2</t>
  </si>
  <si>
    <t>LANC. CABO ISOLADO 1 KV ATÉ 25 MM²,</t>
  </si>
  <si>
    <t>4.1.6.3</t>
  </si>
  <si>
    <t xml:space="preserve">MONT. POSTE CIRCULAR METÁLICO, </t>
  </si>
  <si>
    <t>4.1.6.4</t>
  </si>
  <si>
    <t>MONT. LUMINÁRIA ABERTA, COMPLETA</t>
  </si>
  <si>
    <t>4.2</t>
  </si>
  <si>
    <t>DESMONTAGENS ELETROMECÂNICAS PROVISÓRIO</t>
  </si>
  <si>
    <t>4.2.1</t>
  </si>
  <si>
    <t>4.2.1.1</t>
  </si>
  <si>
    <t>DMONT. COLUNA DE CONCRETO, DE 15 A 25 M,</t>
  </si>
  <si>
    <t>4.2.1.2</t>
  </si>
  <si>
    <t>DMONT. VIGA DE CONCRETO, DE 6 A 14 M TIPO "DT",</t>
  </si>
  <si>
    <t>4.2.1.3</t>
  </si>
  <si>
    <t>DMONT. COLUNA E VIGA METÁLICA TRELIÇADA,</t>
  </si>
  <si>
    <t>4.2.1.4</t>
  </si>
  <si>
    <t xml:space="preserve">DMONT. POSTE DE CONCRETO, DE 14 A 23 M, </t>
  </si>
  <si>
    <t>4.2.1.5</t>
  </si>
  <si>
    <t xml:space="preserve">DMONT. POSTE DE CONCRETO, DE 10 A 14 M, </t>
  </si>
  <si>
    <t>4.2.1.6</t>
  </si>
  <si>
    <t xml:space="preserve">DMONT. POSTE DE CONCRETO, DE 5 A 10 M, </t>
  </si>
  <si>
    <t>4.2.2</t>
  </si>
  <si>
    <t>4.2.2.1</t>
  </si>
  <si>
    <t>4.2.2.1.1</t>
  </si>
  <si>
    <t>DMONT. CABO DE AÇO</t>
  </si>
  <si>
    <t>4.2.2.2</t>
  </si>
  <si>
    <t>4.2.2.2.1</t>
  </si>
  <si>
    <t>RETIRADA DE CABO DE COBRE NÚ, ATÉ 120 MM²</t>
  </si>
  <si>
    <t>4.2.2.2.2</t>
  </si>
  <si>
    <t>RET SECCION E ATERRAM CERCA LM</t>
  </si>
  <si>
    <t>4.2.3</t>
  </si>
  <si>
    <t>4.2.3.1</t>
  </si>
  <si>
    <t>DMONT. CADEIA DE DISCOS ISOLADORES 138kV</t>
  </si>
  <si>
    <t>4.2.3.2</t>
  </si>
  <si>
    <t>DMONT. CADEIA DE DISCOS ISOLADORES 69 KV</t>
  </si>
  <si>
    <t>4.2.3.3</t>
  </si>
  <si>
    <t>DMONT. CADEIA DE DISCOS ISOLADORES 34,5kV</t>
  </si>
  <si>
    <t>4.2.3.4</t>
  </si>
  <si>
    <t>DMONT. CADEIA DE DISCOS ISOLADORES 13,8kV</t>
  </si>
  <si>
    <t>4.2.3.5</t>
  </si>
  <si>
    <t xml:space="preserve">DMONT. CABO DE ALUMÍNIO, ATÉ 1000 MCM, </t>
  </si>
  <si>
    <t>4.2.3.6</t>
  </si>
  <si>
    <t>DMONT. ISOLADOR DE PEDESTAL 13,8kV</t>
  </si>
  <si>
    <t>4.2.3.7</t>
  </si>
  <si>
    <t>DMONT. ISOLADOR DE PEDESTAL 138kV</t>
  </si>
  <si>
    <t>4.2.3.8</t>
  </si>
  <si>
    <t>DMONT. ISOLADOR DE PEDESTAL 69 KV</t>
  </si>
  <si>
    <t>4.2.3.9</t>
  </si>
  <si>
    <t>DMONT. ISOLADOR DE PEDESTAL 34,5KV</t>
  </si>
  <si>
    <t>4.2.3.10</t>
  </si>
  <si>
    <t>DMONT. PARA-RAIOS 13,8KV E 34,5KV</t>
  </si>
  <si>
    <t>4.2.3.11</t>
  </si>
  <si>
    <t>DMONT. TUBO DE ALUMÍNIO, ATÉ 69 MM,</t>
  </si>
  <si>
    <t>4.2.3.12</t>
  </si>
  <si>
    <t xml:space="preserve">DMONT. CABO ISOLADO, ATÉ 630 MM², </t>
  </si>
  <si>
    <t>4.2.3.13</t>
  </si>
  <si>
    <t>DMONT. TUBO DE ALUMÍNIO, DE 70 A 110 MM,</t>
  </si>
  <si>
    <t>4.2.3.14</t>
  </si>
  <si>
    <t>DMONT. CHAVE FUSÍVEL UNIPOLAR</t>
  </si>
  <si>
    <t>4.2.3.15</t>
  </si>
  <si>
    <t>RET ISOLADOR ROLDANA LM</t>
  </si>
  <si>
    <t>4.2.3.16</t>
  </si>
  <si>
    <t>RET FLY TAP /CRUZAM AEREO COND NU LM</t>
  </si>
  <si>
    <t>4.2.3.17</t>
  </si>
  <si>
    <t>RET ESPACADOR/AFASTADOR REDE PRI/SEC LM</t>
  </si>
  <si>
    <t>4.2.3.18</t>
  </si>
  <si>
    <t>RET ESTRIBO OU GRAMPO LINHA VIVA RD LM</t>
  </si>
  <si>
    <t>4.2.4</t>
  </si>
  <si>
    <t>4.2.4.1</t>
  </si>
  <si>
    <t>4.2.4.1.1</t>
  </si>
  <si>
    <t>DESMONTAR ELETRODUTO ATÉ 2"</t>
  </si>
  <si>
    <t>4.2.4.1.2</t>
  </si>
  <si>
    <t>RET RELIGADOR/SECCIONADOR 3F LM</t>
  </si>
  <si>
    <t>4.2.4.1.3</t>
  </si>
  <si>
    <t>RET REATOR POSTE/PLATAF LM</t>
  </si>
  <si>
    <t>4.2.4.1.4</t>
  </si>
  <si>
    <t>RET TRAFO DT POSTE/PLATAF 1/2F LM</t>
  </si>
  <si>
    <t>4.2.4.1.5</t>
  </si>
  <si>
    <t>RET TRAFO DT POSTE/PLATAF 3F LM</t>
  </si>
  <si>
    <t>4.2.4.2</t>
  </si>
  <si>
    <t>4.2.4.2.1</t>
  </si>
  <si>
    <t>RETIRADA DE PARA-RAIOS ENTRE 69 ATÉ 138 KV</t>
  </si>
  <si>
    <t>4.2.4.2.2</t>
  </si>
  <si>
    <t>DMONT. TRANSFORMADOR 3F, 138 KV e 69KV,</t>
  </si>
  <si>
    <t>4.2.4.2.3</t>
  </si>
  <si>
    <t>DMONT. CHAVE DE ATERRAMENTO RÁPIDO, 138 KV</t>
  </si>
  <si>
    <t>4.2.4.2.4</t>
  </si>
  <si>
    <t>DMONT. DISJUNTOR TRIPOLAR, 138 KV</t>
  </si>
  <si>
    <t>4.2.4.2.5</t>
  </si>
  <si>
    <t>DMONT. DISJUNTOR TRIPOLAR, 69 KV</t>
  </si>
  <si>
    <t>4.2.4.2.6</t>
  </si>
  <si>
    <t>DMONT. CHAVE SECCIONADORA TRIPOLAR 138KV</t>
  </si>
  <si>
    <t>4.2.4.2.7</t>
  </si>
  <si>
    <t xml:space="preserve">DMONT. CHAVE SECCIONADORA TRIPOLAR 69KV </t>
  </si>
  <si>
    <t>4.2.4.2.8</t>
  </si>
  <si>
    <t>DMONT. PARA-RAIOS, 69 KV</t>
  </si>
  <si>
    <t>4.2.4.2.9</t>
  </si>
  <si>
    <t xml:space="preserve">DMONT. TRANSFORMADOR DE MEDIDA, 69 KV </t>
  </si>
  <si>
    <t>4.2.4.2.10</t>
  </si>
  <si>
    <t>DMONT. PARA-RAIOS, 138 KV</t>
  </si>
  <si>
    <t>4.2.4.2.11</t>
  </si>
  <si>
    <t>DMONT. TRANSFORMADOR DE MEDIDA 138 KV</t>
  </si>
  <si>
    <t>4.2.4.2.12</t>
  </si>
  <si>
    <t>DESMONTAR BANCO DE CAPACITORES DE 138 KV</t>
  </si>
  <si>
    <t>4.2.4.2.13</t>
  </si>
  <si>
    <t>DESMONTAR BANCO DE CAPACITORES DE 69 KV</t>
  </si>
  <si>
    <t>4.2.4.3</t>
  </si>
  <si>
    <t>SETOR DE 13,8 kV E 34,5 Kv</t>
  </si>
  <si>
    <t>4.2.4.3.1</t>
  </si>
  <si>
    <t xml:space="preserve">DMONT. TRANSFORMADOR 3F, ATÉ 34,5 KV, </t>
  </si>
  <si>
    <t>4.2.4.3.2</t>
  </si>
  <si>
    <t>DMONT. CHAVE SECCIONADORA TRIPOLAR 13,8 KV E 34,5KV</t>
  </si>
  <si>
    <t>4.2.4.3.3</t>
  </si>
  <si>
    <t>DMONT. TRANSFORMADOR DE MEDIDA 13,8 KV E DE 34,5KV</t>
  </si>
  <si>
    <t>4.2.4.3.4</t>
  </si>
  <si>
    <t xml:space="preserve">DMONT. CHAVE FUSÍVEL UNIPOLAR, 13,8 KV E 34,5 KV, </t>
  </si>
  <si>
    <t>4.2.4.3.5</t>
  </si>
  <si>
    <t>DMONT. CHAVE SECCIONADORA MONOFÁSICA 13,8 KV E 34,5KV</t>
  </si>
  <si>
    <t>4.2.4.3.6</t>
  </si>
  <si>
    <t>DMONT. DISJUNTOR TRIPOLAR 13,8 KV E 34,5KV</t>
  </si>
  <si>
    <t>4.2.4.3.7</t>
  </si>
  <si>
    <t>DMONT. CELA DE CUBÍCULO 13,8 KV</t>
  </si>
  <si>
    <t>4.2.4.3.8</t>
  </si>
  <si>
    <t>DMONT. BANCO DE CAPACITOR 34,5 kV</t>
  </si>
  <si>
    <t>4.2.4.3.9</t>
  </si>
  <si>
    <t>DMONT. RELIGADOR TRIPOLAR 13,8 KV</t>
  </si>
  <si>
    <t>4.2.5</t>
  </si>
  <si>
    <t>4.2.5.1</t>
  </si>
  <si>
    <t>4.2.5.1.1</t>
  </si>
  <si>
    <t xml:space="preserve">DMONT. GRUPO GERADOR DIESEL,       </t>
  </si>
  <si>
    <t>4.2.5.1.2</t>
  </si>
  <si>
    <t xml:space="preserve">DMONT. CABO ISOLADO 1 KV, ATÉ 240 MM², </t>
  </si>
  <si>
    <t>4.2.5.2</t>
  </si>
  <si>
    <t>4.2.5.2.1</t>
  </si>
  <si>
    <t xml:space="preserve">DMONT. TRAFO DE SERV. AUX. ATÉ 34,5 KV, </t>
  </si>
  <si>
    <t>4.2.6</t>
  </si>
  <si>
    <t xml:space="preserve">DMONT. TRAFO DE SERVIÇO AUXILIAR EM ATÉ 34,5 KV, </t>
  </si>
  <si>
    <t>4.2.6.1</t>
  </si>
  <si>
    <t>DMONT. LUMINÁRIA OU TOMADAS</t>
  </si>
  <si>
    <t>4.2.6.2</t>
  </si>
  <si>
    <t xml:space="preserve">DMONT. POSTE CIRCULAR METÁLICO, </t>
  </si>
  <si>
    <t>5.0</t>
  </si>
  <si>
    <t>SERVIÇOS ELÉTRICOS (FATOR "EL")</t>
  </si>
  <si>
    <t>5.1</t>
  </si>
  <si>
    <t>EQUIPAMENTOS EXTERNOS - IMPLANTAÇÃO</t>
  </si>
  <si>
    <t>5.1.1</t>
  </si>
  <si>
    <t>EXECUTAR INTERLIGAÇÃO VÃO BC ATÉ 34,5 KV</t>
  </si>
  <si>
    <t>5.1.2</t>
  </si>
  <si>
    <t>EXECUTAR INTERLIG VÃO BC 69 KV OU 138 KV</t>
  </si>
  <si>
    <t>5.1.3</t>
  </si>
  <si>
    <t>EXEC INTERLIG BANC REGULADOR ATÉ 34,5 KV</t>
  </si>
  <si>
    <t>5.1.4</t>
  </si>
  <si>
    <t>EXECUTAR INTERLIGAÇÃO DE CHAVE SEC MAN</t>
  </si>
  <si>
    <t>5.1.5</t>
  </si>
  <si>
    <t>EXECUTAR INTERLIGAÇÃO DE CHAVE SEC MOT</t>
  </si>
  <si>
    <t>5.1.6</t>
  </si>
  <si>
    <t>EXECUTAR INTERLIGAÇÃO DE TSA</t>
  </si>
  <si>
    <t>5.1.7</t>
  </si>
  <si>
    <t>EXECUTAR INTERLIGAÇÃO DE DISJUNTOR</t>
  </si>
  <si>
    <t>5.1.8</t>
  </si>
  <si>
    <t>EXECUTAR INTERLIGAÇÃO REATOR TRIFÁSICO</t>
  </si>
  <si>
    <t>5.1.9</t>
  </si>
  <si>
    <t>EXECUTAR INTERLIGAÇÃO DE RELIGADOR</t>
  </si>
  <si>
    <t>5.1.10</t>
  </si>
  <si>
    <t>EXECUTAR INSTALAÇÃO ELÉTRICA CAIXA TC</t>
  </si>
  <si>
    <t>5.1.11</t>
  </si>
  <si>
    <t>EXECUTAR INTERLIGAÇÃO DE TC</t>
  </si>
  <si>
    <t>5.1.12</t>
  </si>
  <si>
    <t>EXECUTAR INSTALAÇÃO ELÉTRICA CAIXA TP</t>
  </si>
  <si>
    <t>5.1.13</t>
  </si>
  <si>
    <t>EXECUTAR INTERLIGAÇÃO DE TP</t>
  </si>
  <si>
    <t>5.1.14</t>
  </si>
  <si>
    <t>EXECUTAR INTERLIGAÇÃO TR COM AUTOMAÇÃO</t>
  </si>
  <si>
    <t>5.1.15</t>
  </si>
  <si>
    <t>EXECUTAR INTERLIGAÇÃO TR SEM AUTOMAÇÃO</t>
  </si>
  <si>
    <t>5.1.16</t>
  </si>
  <si>
    <t>EXEC INTERLIG REGULADOR 69 KV OU 138 KV</t>
  </si>
  <si>
    <t>5.2</t>
  </si>
  <si>
    <t>EQUIPAMENTOS EXTERNOS - RETROFIT</t>
  </si>
  <si>
    <t>5.2.1</t>
  </si>
  <si>
    <t>EXEC RETROF BC ATÉ 34,5KV (TROC CONTROL)</t>
  </si>
  <si>
    <t>5.2.2</t>
  </si>
  <si>
    <t>EXECUTAR RETROFIT DE BC ATÉ 34,5 KV</t>
  </si>
  <si>
    <t>5.2.3</t>
  </si>
  <si>
    <t>RETROFIT DISJ PROTEÇÃO BC 69 KV E 138 KV</t>
  </si>
  <si>
    <t>5.2.4</t>
  </si>
  <si>
    <t>EXEC RETROFIT BANC REGULADOR ATÉ 34,5 KV</t>
  </si>
  <si>
    <t>5.2.5</t>
  </si>
  <si>
    <t>EXECUTAR RETROFIT DE DISJUNTOR</t>
  </si>
  <si>
    <t>5.2.6</t>
  </si>
  <si>
    <t>EXECUTAR RETROFIT DE REATOR TRIFÁSICO</t>
  </si>
  <si>
    <t>5.2.7</t>
  </si>
  <si>
    <t xml:space="preserve">EXECUTAR RETROFIT DE RELIGADOR </t>
  </si>
  <si>
    <t>5.2.8</t>
  </si>
  <si>
    <t>EXECUTAR RETROFIT CAIXA CONCENTRAÇÃO TC</t>
  </si>
  <si>
    <t>5.2.9</t>
  </si>
  <si>
    <t>EXECUTAR RETROFIT DE TC</t>
  </si>
  <si>
    <t>5.2.10</t>
  </si>
  <si>
    <t>EXECUTAR RETROFIT CAIXA CONCENTRAÇÃO TP</t>
  </si>
  <si>
    <t>5.2.11</t>
  </si>
  <si>
    <t>EXECUTAR RETROFIT DE TP</t>
  </si>
  <si>
    <t>5.2.12</t>
  </si>
  <si>
    <t>RETROFIT CONTROLE REGULAÇÃO DO COMUTADOR</t>
  </si>
  <si>
    <t>5.2.13</t>
  </si>
  <si>
    <t>EXECUTAR RETROFIT MONITOR DE TEMPERATURA</t>
  </si>
  <si>
    <t>5.2.14</t>
  </si>
  <si>
    <t>EXECUTAR RETROFIT TRAFO DE ATERRAMENTO</t>
  </si>
  <si>
    <t>5.2.15</t>
  </si>
  <si>
    <t>EXEC RETROFIT TRANSF REGUL TENS TRIFASIC</t>
  </si>
  <si>
    <t>5.2.16</t>
  </si>
  <si>
    <t>RETROFIT  TRANSF  E INSTALAÇÃO 2414</t>
  </si>
  <si>
    <t>5.2.17</t>
  </si>
  <si>
    <t>RETROFIT  TRANSF  SEM INSTALAÇÃO 2414</t>
  </si>
  <si>
    <t>5.3</t>
  </si>
  <si>
    <t>EQUIPAMENTOS INTERNOS</t>
  </si>
  <si>
    <t>5.3.1</t>
  </si>
  <si>
    <t>EXECUTAR INSTALAÇÃO DE BANCO DE BATERIAS</t>
  </si>
  <si>
    <t>5.3.2</t>
  </si>
  <si>
    <t>EXECUTAR INSTALAÇÃO DE PAINEL CA OU CC</t>
  </si>
  <si>
    <t>5.3.3</t>
  </si>
  <si>
    <t>EXECUTAR INSTALAÇÃO DE PAINEL CA/CC</t>
  </si>
  <si>
    <t>5.3.4</t>
  </si>
  <si>
    <t>EXECUTAR INSTALAÇÃO DE PAINEL SMF</t>
  </si>
  <si>
    <t>5.3.5</t>
  </si>
  <si>
    <t>INSTALAÇÃO DE PAINEL MEDIÇÃO OPERACIONAL</t>
  </si>
  <si>
    <t>5.3.6</t>
  </si>
  <si>
    <t>EXECUTAR INSTALAÇÃO DE PAINEL PROTEÇÃO</t>
  </si>
  <si>
    <t>5.3.7</t>
  </si>
  <si>
    <t>EXECUTAR INSTALAÇÃO DE PAINEL UTR</t>
  </si>
  <si>
    <t>5.3.8</t>
  </si>
  <si>
    <t>EXECUTAR INSTALAÇÃO DE RETIFICADOR</t>
  </si>
  <si>
    <t>5.3.9</t>
  </si>
  <si>
    <t>EXECUTAR SUPORTE METÁLICO DE PAINEL</t>
  </si>
  <si>
    <t>5.3.10</t>
  </si>
  <si>
    <t>INSTALAÇÃO E INTERLIGAÇÃO DE MEDIDOR</t>
  </si>
  <si>
    <t>5.3.11</t>
  </si>
  <si>
    <t xml:space="preserve">FIXAÇÃO E INTERLIG MEDIDOR EM PAINEL </t>
  </si>
  <si>
    <t>5.3.12</t>
  </si>
  <si>
    <t>SUBSTITUIR MEDIDOR EM PAINEL</t>
  </si>
  <si>
    <t>5.3.13</t>
  </si>
  <si>
    <t>INSTAL E INTERLIG EQUIP DE COMUNICAÇÃO</t>
  </si>
  <si>
    <t>5.3.14</t>
  </si>
  <si>
    <t>INTERLIGAR RELÉ MONTADO EM PAINEL</t>
  </si>
  <si>
    <t>5.3.15</t>
  </si>
  <si>
    <t>INSTAL E INTERLIG RELÉ EM PNL EXISTENTE</t>
  </si>
  <si>
    <t>5.3.16</t>
  </si>
  <si>
    <t>INSTALAR E INTERLIG RELÉ EM PAINEL NOVO</t>
  </si>
  <si>
    <t>5.3.17</t>
  </si>
  <si>
    <t>EXEC INSTALAÇÃO COMPONENTES AUXILIARES</t>
  </si>
  <si>
    <t>5.3.18</t>
  </si>
  <si>
    <t xml:space="preserve">ADEQUAÇÃO FIAÇÃO RELÉ PAINEL PROTEÇÃO </t>
  </si>
  <si>
    <t>5.3.19</t>
  </si>
  <si>
    <t xml:space="preserve">EXECUTAR RETROFIT DE RELÉ EM PAINEL </t>
  </si>
  <si>
    <t>5.3.20</t>
  </si>
  <si>
    <t>SUBSTITUIR OU INSTALAR RELÉ DE PROTEÇÃO EM EQUIPAMENTO</t>
  </si>
  <si>
    <t>5.3.21</t>
  </si>
  <si>
    <t>SUBSTITUIR RELÉ DE PROTEÇÃO EM PAINEL</t>
  </si>
  <si>
    <t>5.4</t>
  </si>
  <si>
    <t>LANÇAMENTO DE CABOS</t>
  </si>
  <si>
    <t>5.4.1</t>
  </si>
  <si>
    <t xml:space="preserve">LANÇAR CABOS ATÉ 10 CONDUTORES </t>
  </si>
  <si>
    <t>5.4.2</t>
  </si>
  <si>
    <t>LANÇAR CABO DE FIBRA ÓPTICA</t>
  </si>
  <si>
    <t>5.4.3</t>
  </si>
  <si>
    <t>LANÇAMENTO DE CORDÃO DE FIBRA ÓPTICA</t>
  </si>
  <si>
    <t>5.5</t>
  </si>
  <si>
    <t>SERVIÇOS ESPECIALIZADOS</t>
  </si>
  <si>
    <t>5.5.1</t>
  </si>
  <si>
    <t>EXECUÇÃO DE FUSÃO DE FIBRAS (12 PARES)</t>
  </si>
  <si>
    <t>5.5.2</t>
  </si>
  <si>
    <t>ELABORAR RELATÓRIO DE OBRA DE AUTOMAÇÃO</t>
  </si>
  <si>
    <t>5.6</t>
  </si>
  <si>
    <t>DESATIVAÇÃO DE EQUIPAMENTOS E LIMPEZA DE OBRA</t>
  </si>
  <si>
    <t>5.6.1</t>
  </si>
  <si>
    <t>DESATIVAR BANCO DE BATERIAS</t>
  </si>
  <si>
    <t>5.6.2</t>
  </si>
  <si>
    <t>DESATIVAR MEDIDOR EM PAINEL</t>
  </si>
  <si>
    <t>5.6.3</t>
  </si>
  <si>
    <t>DESATIVAR PAINEL CA OU CC</t>
  </si>
  <si>
    <t>5.6.4</t>
  </si>
  <si>
    <t>DESATIVAR PAINEL DE MEDIÇÃO</t>
  </si>
  <si>
    <t>5.6.5</t>
  </si>
  <si>
    <t>DESATIVAR PAINEL FUNC. NÃO ESPECIFICA</t>
  </si>
  <si>
    <t>5.6.6</t>
  </si>
  <si>
    <t>DESATIVAR PAINEL QCP</t>
  </si>
  <si>
    <t>5.6.7</t>
  </si>
  <si>
    <t>DESATIVAR UTR OU RACK DE COMUNICAÇÃO</t>
  </si>
  <si>
    <t>5.6.8</t>
  </si>
  <si>
    <t xml:space="preserve">DESATIVAR RELÉ DE PROTEÇÃO EM PAINEL </t>
  </si>
  <si>
    <t>5.6.9</t>
  </si>
  <si>
    <t>DESATIVAR RETIFICADOR</t>
  </si>
  <si>
    <t>5.6.10</t>
  </si>
  <si>
    <t>DESATIVAR CABOS ATÉ 10 CONDUTORES</t>
  </si>
  <si>
    <t>5.6.11</t>
  </si>
  <si>
    <t>DESATIVAR CABO DE FIBRA ÓPTICA</t>
  </si>
  <si>
    <t>5.6.12</t>
  </si>
  <si>
    <t>LIMPEZA GERAL DA OBRA DE AUTOMAÇÃO</t>
  </si>
  <si>
    <t>5.6.13</t>
  </si>
  <si>
    <t>DESATIVAÇÃO ELÉTRICA DE EQUIPAMENTO</t>
  </si>
  <si>
    <t>6.0</t>
  </si>
  <si>
    <t>OBRAS CIVIS LT</t>
  </si>
  <si>
    <t>6.1</t>
  </si>
  <si>
    <t>ESCAVAÇÕES</t>
  </si>
  <si>
    <t>6.1.1</t>
  </si>
  <si>
    <t>ESCAVAÇÕES CAT. "E" (BREJO) COM ESCORA</t>
  </si>
  <si>
    <t>6.1.2</t>
  </si>
  <si>
    <t>ESCAVAÇÃO CAT E -BREJO C ESCORA E BOMBEA</t>
  </si>
  <si>
    <t>6.1.3</t>
  </si>
  <si>
    <t>ESCAVAÇÕES  CAT. "E" (BREJO/MOVEDIÇO)</t>
  </si>
  <si>
    <t>6.1.4</t>
  </si>
  <si>
    <t>ESCORAMENTO EM ESCAVAÇÕES EM SOLOS</t>
  </si>
  <si>
    <t>6.1.5</t>
  </si>
  <si>
    <t>AQUISIÇÃO DE CASCALHO PARA ATERRO - LT</t>
  </si>
  <si>
    <t>6.1.6</t>
  </si>
  <si>
    <t>ESCAVAÇÃO TERRENO CAT. "D" (ROCHA VIVA)</t>
  </si>
  <si>
    <t>6.1.7</t>
  </si>
  <si>
    <t>ESCAVAÇÃO MANUAL DE TUBULÃO A CÉU ABERTO</t>
  </si>
  <si>
    <t>6.1.8</t>
  </si>
  <si>
    <t>ESCAVAÇÃO MECÂN. DE TUBULÃO A CÉU ABERTO</t>
  </si>
  <si>
    <t>6.1.9</t>
  </si>
  <si>
    <t>ESCAVAÇÃO MANUAL - LT</t>
  </si>
  <si>
    <t>6.1.10</t>
  </si>
  <si>
    <t>ESCAVAÇÃO COM BRITADEIRA</t>
  </si>
  <si>
    <t>6.2</t>
  </si>
  <si>
    <t>FORMA / ARMAÇÃO / CONCRETAGEM</t>
  </si>
  <si>
    <t>6.2.1</t>
  </si>
  <si>
    <t>AREIA P/ADENSA.  REAT. E/OU REGENERAÇÃO</t>
  </si>
  <si>
    <t>6.2.2</t>
  </si>
  <si>
    <t>PEDRA MÃO P/ AGULH. E/OU REGENERAÇÃO</t>
  </si>
  <si>
    <t>6.2.3</t>
  </si>
  <si>
    <t>ANÉIS DE CONCRETO ARMADO Ø 110X50X5CM</t>
  </si>
  <si>
    <t>6.2.4</t>
  </si>
  <si>
    <t>ANÉIS DE CONCRETO ARMADO Ø 145X50X5CM</t>
  </si>
  <si>
    <t>6.2.5</t>
  </si>
  <si>
    <t>ANÉIS DE CONCRETO ARMADO Ø 195X50X5CM</t>
  </si>
  <si>
    <t>6.2.6</t>
  </si>
  <si>
    <t>FORMA SIMPLES - LT</t>
  </si>
  <si>
    <t>6.2.7</t>
  </si>
  <si>
    <t>SOLO-CIMENTO TRAÇO 10:1</t>
  </si>
  <si>
    <t>6.2.8</t>
  </si>
  <si>
    <t>CONCRETO SIMP. USINADO FCK &gt;=25 MPA - LT</t>
  </si>
  <si>
    <t>6.2.9</t>
  </si>
  <si>
    <t>FORNEC. DE ARMADURA CA-50 OU CA 60 - LT</t>
  </si>
  <si>
    <t>6.2.10</t>
  </si>
  <si>
    <t>CORTE E DOBRA ARMADURA CA-50/CA-60 - LT</t>
  </si>
  <si>
    <t>6.2.11</t>
  </si>
  <si>
    <t xml:space="preserve">CHAPISCO TRAÇO 1:3 </t>
  </si>
  <si>
    <t>6.2.12</t>
  </si>
  <si>
    <t xml:space="preserve">REATERRO COMPACTADO MANUALMENTE SEM AQUISIÇÃO DOS MATERIAIS </t>
  </si>
  <si>
    <t>6.2.13</t>
  </si>
  <si>
    <t>CONCRETO SIMP. USINADO FCK &gt;=20 MPA - LT</t>
  </si>
  <si>
    <t>6.2.14</t>
  </si>
  <si>
    <t>CONCRETO MAGRO, TRAÇO 1:3:5 - LT</t>
  </si>
  <si>
    <t>6.3</t>
  </si>
  <si>
    <t>PAVIMENTAÇÃO, CALÇADA E PINTURA</t>
  </si>
  <si>
    <t>6.3.1</t>
  </si>
  <si>
    <t>FORNECIMENTO E INSTALAÇÃO DE BRITA</t>
  </si>
  <si>
    <t>6.3.2</t>
  </si>
  <si>
    <t xml:space="preserve">PAVIMENTAÇÃO MANUAL CBUQ </t>
  </si>
  <si>
    <t>6.3.3</t>
  </si>
  <si>
    <t>PAVIMENTAÇÃO MANUAL COM PMF</t>
  </si>
  <si>
    <t>6.3.4</t>
  </si>
  <si>
    <t>CALÇADA COM LADRILHO HIDRÁULICO COLORIDO</t>
  </si>
  <si>
    <t>6.3.5</t>
  </si>
  <si>
    <t>CALÇADA COM LADRILHO HIDRÁULICO (PADRÃO)</t>
  </si>
  <si>
    <t>6.3.6</t>
  </si>
  <si>
    <t>PINTURA DE CALÇADA</t>
  </si>
  <si>
    <t>6.3.7</t>
  </si>
  <si>
    <t xml:space="preserve">CAIXA DE INSPEÇÃO PARA ATERRAMENTO </t>
  </si>
  <si>
    <t>6.3.8</t>
  </si>
  <si>
    <t xml:space="preserve">ALVENARIA EM BLOCOS  DE CONCRETO </t>
  </si>
  <si>
    <t>6.3.9</t>
  </si>
  <si>
    <t>BARREIRA RÍGIDA DE CONCRETO MOD. 4 M</t>
  </si>
  <si>
    <t>6.3.10</t>
  </si>
  <si>
    <t>BARREIRA RÍGIDA DE CONCRETO MOD. 2,4 M</t>
  </si>
  <si>
    <t>6.3.11</t>
  </si>
  <si>
    <t>DEFENSA CONCRETO MANILHA 2X0,60 M TIPO 2</t>
  </si>
  <si>
    <t>6.3.12</t>
  </si>
  <si>
    <t>POSTE DEFENSA DE CONCRETO (2 M) - TIPO 1</t>
  </si>
  <si>
    <t>6.3.13</t>
  </si>
  <si>
    <t>INSTAL DE DEFEN LD 72,5/145 KV - TIPO 1</t>
  </si>
  <si>
    <t>6.3.14</t>
  </si>
  <si>
    <t>INSTAL DE DEFEN LD 72,5/145 KV - TIPO 2</t>
  </si>
  <si>
    <t>6.3.15</t>
  </si>
  <si>
    <t>INSTALAÇÃO DE DEFENSA LT</t>
  </si>
  <si>
    <t>6.3.16</t>
  </si>
  <si>
    <t>INSTALAÇÃO DE MEIO-FIO PRÉ-MOLDADO - LT</t>
  </si>
  <si>
    <t>6.4</t>
  </si>
  <si>
    <t>PONTES DE MADEIRA / MATA-BURROS / COLCHETES E PORTEIRAS</t>
  </si>
  <si>
    <t>6.4.1</t>
  </si>
  <si>
    <t>PONTE DE MADEIRA</t>
  </si>
  <si>
    <t>6.4.2</t>
  </si>
  <si>
    <t>FORNECIMENTO E INSTALAÇÃO DE MATA-BURROS</t>
  </si>
  <si>
    <t>6.4.3</t>
  </si>
  <si>
    <t>FORNECIMENTO E INSTALAÇÃO DE COLCHETES</t>
  </si>
  <si>
    <t>6.4.4</t>
  </si>
  <si>
    <t>INSTALAÇÃO DE PORTEIRA TIPO COLCHETE</t>
  </si>
  <si>
    <t>6.5</t>
  </si>
  <si>
    <t>ABERTURA DE FAIXA / ESTRADA DE ACESSO</t>
  </si>
  <si>
    <t>6.5.1</t>
  </si>
  <si>
    <t>LIMPEZA DE FAIXA SEMI MECANIZADA LT</t>
  </si>
  <si>
    <t xml:space="preserve">HA </t>
  </si>
  <si>
    <t>6.5.2</t>
  </si>
  <si>
    <t>LIMPEZA DE FAIXA DE SERVIDÃO C/ FOICE</t>
  </si>
  <si>
    <t>6.5.3</t>
  </si>
  <si>
    <t>ROÇADA FINAL</t>
  </si>
  <si>
    <t>6.5.4</t>
  </si>
  <si>
    <t>CONSTRUÇÃO DE ACESSOS ÀS  ESTRUTURAS</t>
  </si>
  <si>
    <t>6.5.5</t>
  </si>
  <si>
    <t>RECUPERAÇÃO DE ACESSOS ÀS ESTRUTURAS</t>
  </si>
  <si>
    <t>6.5.6</t>
  </si>
  <si>
    <t>LIMPEZA DE FAIXA DE SERVIDÃO</t>
  </si>
  <si>
    <t>6.5.7</t>
  </si>
  <si>
    <t>CORTE DE ÁRVORE FORA FAIXA COM Ø &lt;=50CM</t>
  </si>
  <si>
    <t>6.5.8</t>
  </si>
  <si>
    <t>CORTE DE ÁRVORE FORA FAIXA COM Ø &gt;=50CM</t>
  </si>
  <si>
    <t>6.5.9</t>
  </si>
  <si>
    <t>CORTE ÁRVORE DENTRO FAIXA COM Ø &lt;=50CM</t>
  </si>
  <si>
    <t>6.5.10</t>
  </si>
  <si>
    <t xml:space="preserve">CORTE DE ÁRVORE NA FAIXA C/ Ø &gt;= 50 CM </t>
  </si>
  <si>
    <t>6.6</t>
  </si>
  <si>
    <t>PROGRAMA DE RECOMPOSIÇÃO DE ÁREAS ALTERADAS</t>
  </si>
  <si>
    <t>6.6.1</t>
  </si>
  <si>
    <t>PROGRAMA AMBIENTAL COMPLEXIDADE BAIXA</t>
  </si>
  <si>
    <t>6.6.2</t>
  </si>
  <si>
    <t>PROGRAMA AMBIENTAL COMPLEXIDADE MEDIANA</t>
  </si>
  <si>
    <t>6.6.3</t>
  </si>
  <si>
    <t>PROGRAMA AMBIENTAL COMPLEXIDADE ELEVADA</t>
  </si>
  <si>
    <t>6.6.4</t>
  </si>
  <si>
    <t>MUDAS  VEGETAIS NATIVAS ALTURA MIN 1,50M</t>
  </si>
  <si>
    <t>6.6.5</t>
  </si>
  <si>
    <t>PREPARO ADUBAÇÃO PLANTIO MUDAS NATIVAS</t>
  </si>
  <si>
    <t>6.6.6</t>
  </si>
  <si>
    <t xml:space="preserve">SEMENTE DE CAPIM BRACHIARIA </t>
  </si>
  <si>
    <t>6.6.7</t>
  </si>
  <si>
    <t xml:space="preserve">SEMENTE PELETIZADA DE CAPIM BRACHIARIA </t>
  </si>
  <si>
    <t>6.6.8</t>
  </si>
  <si>
    <t>SEMENTE DE CAPIM MASSAI</t>
  </si>
  <si>
    <t>6.6.9</t>
  </si>
  <si>
    <t>PREPARO DO SOLO COM TRATOR GRADE PESADA</t>
  </si>
  <si>
    <t>HA</t>
  </si>
  <si>
    <t>6.6.10</t>
  </si>
  <si>
    <t>PREPARO DO SOLO COM TRATOR GRADE INTERME</t>
  </si>
  <si>
    <t>6.6.11</t>
  </si>
  <si>
    <t>PREPARO DO SOLO COM TRADOR  GRADE NIVELA</t>
  </si>
  <si>
    <t>6.6.12</t>
  </si>
  <si>
    <t>INVENTÁRIO C/ PES E PCF - LDAT</t>
  </si>
  <si>
    <t>6.6.13</t>
  </si>
  <si>
    <t>PLANTIO DE GRAMA ESMERALDA EM PLACAS</t>
  </si>
  <si>
    <t>6.6.14</t>
  </si>
  <si>
    <t>PRAD -  RECUPERAÇÃO DE ÁREAS DEGRADADAS</t>
  </si>
  <si>
    <t>6.6.15</t>
  </si>
  <si>
    <t>MANUTENÇÃO DO PRAD</t>
  </si>
  <si>
    <t>6.6.16</t>
  </si>
  <si>
    <t>MANUTENÇÃO DO PLANTIO DE MUDAS</t>
  </si>
  <si>
    <t>6.6.17</t>
  </si>
  <si>
    <t>PLANTIO DE GRAMA BATATAIS EM PLACAS DE 40 X 40 CM</t>
  </si>
  <si>
    <t>7.0</t>
  </si>
  <si>
    <t>ELETROMECÂNICO LT</t>
  </si>
  <si>
    <t>7.1</t>
  </si>
  <si>
    <t>TOPOGRAFIA</t>
  </si>
  <si>
    <t>7.1.1</t>
  </si>
  <si>
    <t>LEVANTAMENTO TOPOGRÁFICO COMPLEMENTAR</t>
  </si>
  <si>
    <t>7.1.2</t>
  </si>
  <si>
    <t>TOPOGRAFIA - PERFIL COMENTADO DA LDAT</t>
  </si>
  <si>
    <t>7.1.3</t>
  </si>
  <si>
    <t>LOCAÇÃO ESTRUTURA METÁLICA LDAT - 4 PÉS</t>
  </si>
  <si>
    <t>7.1.4</t>
  </si>
  <si>
    <t>LOCAÇÃO ESTRUTURAS LDAT - BASE ÚNICA</t>
  </si>
  <si>
    <t>7.1.5</t>
  </si>
  <si>
    <t>TOPOGRAFIA - LEV. SEÇÕES DIAG. DOS PÉS</t>
  </si>
  <si>
    <t>7.2</t>
  </si>
  <si>
    <t>INSTALAÇÃO DE CADEIAS</t>
  </si>
  <si>
    <t>7.2.1</t>
  </si>
  <si>
    <t>138 KV INST. CADEIA ISOLADORES SUS LDAT</t>
  </si>
  <si>
    <t>7.2.2</t>
  </si>
  <si>
    <t>138 KV INST. CADEIA ISOLADORES ANC LDAT</t>
  </si>
  <si>
    <t>7.2.3</t>
  </si>
  <si>
    <t>RETIRADA DE CADEIA DE SUSPENSÃO</t>
  </si>
  <si>
    <t>7.2.4</t>
  </si>
  <si>
    <t>RETIRADA DE CADEIA DE ANCORAGEM SIMPLES - POLIMÉRICA</t>
  </si>
  <si>
    <t>7.2.5</t>
  </si>
  <si>
    <t>INSTALAÇÃO DE ARRANJO PARA CABO PR</t>
  </si>
  <si>
    <t>7.2.6</t>
  </si>
  <si>
    <t>RETIRADA DE ARRANJO PARA CABO PR</t>
  </si>
  <si>
    <t>7.3</t>
  </si>
  <si>
    <t>SISTEMA DE ATERRAMENTO - RURAL / URBANO</t>
  </si>
  <si>
    <t>7.3.1</t>
  </si>
  <si>
    <t>MEDIÇÃO DE RESISTIVIDADE DO SOLO</t>
  </si>
  <si>
    <t>7.3.2</t>
  </si>
  <si>
    <t>TESTE DE RESISTENCIA DE ATERRAMENTO</t>
  </si>
  <si>
    <t>7.3.3</t>
  </si>
  <si>
    <t>SECIONAMENTO E ATERRAMENTO DE CERCA</t>
  </si>
  <si>
    <t>7.3.4</t>
  </si>
  <si>
    <t>INSTALAÇÃO DE HASTES DE ATERRAMENTO</t>
  </si>
  <si>
    <t>7.3.5</t>
  </si>
  <si>
    <t>INSTALAÇÃO CONTRAPESO/ATERRAMENTO LDAT</t>
  </si>
  <si>
    <t>7.3.6</t>
  </si>
  <si>
    <t>MED. RESIST. ATERRAM. EM ESTRUT. - LV</t>
  </si>
  <si>
    <t>7.4</t>
  </si>
  <si>
    <t>SINALIZAÇÃO DAS ESTRUTURAS E CADASTRAMENTO</t>
  </si>
  <si>
    <t>7.4.1</t>
  </si>
  <si>
    <t>FORN. E INST. PLACAS DE SINALIZAÇÃO</t>
  </si>
  <si>
    <t>7.4.2</t>
  </si>
  <si>
    <t>LEV. DE DADOS PARA CADASTRO ESTR. DE AT</t>
  </si>
  <si>
    <t>7.4.3</t>
  </si>
  <si>
    <t>PINT. ESTRUT. CONC. SINAL. - AERÓDROMO</t>
  </si>
  <si>
    <t>7.4.4</t>
  </si>
  <si>
    <t>PINT. ESTRUT. MET. SINAL. - AERÓDROMO</t>
  </si>
  <si>
    <t>7.4.5</t>
  </si>
  <si>
    <t>INST. DE DISPOSITIVO DE SINAL. AÉREA</t>
  </si>
  <si>
    <t>7.5</t>
  </si>
  <si>
    <t>CAMPANHA DE MEDIÇÃO PRÉ E PÓS CARGA E RESPOSTA EM FREQUÊNCIA</t>
  </si>
  <si>
    <t>7.5.1</t>
  </si>
  <si>
    <t>SERVIÇO DE CAMPANHA QUALIDADE DE ENERGIA</t>
  </si>
  <si>
    <t>7.5.2</t>
  </si>
  <si>
    <t>SERVIÇO DE TESTE DE RESPOSTA EM FREQUÊNCIA</t>
  </si>
  <si>
    <t>7.6</t>
  </si>
  <si>
    <t>MONTAGEM DAS ESTRUTURAS METÁLICA/CONCRETO</t>
  </si>
  <si>
    <t>7.6.1</t>
  </si>
  <si>
    <t>MONTAGEM MANUAL DE ESTRUTURAS METÁLICAS</t>
  </si>
  <si>
    <t>7.6.2</t>
  </si>
  <si>
    <t>INSTALAÇÃO DE POSTE DE CONCRETO (QUALQUER TIPO) DE 10 ATÉ 15 METROS</t>
  </si>
  <si>
    <t>7.6.3</t>
  </si>
  <si>
    <t>INSTALAÇÃO DE POSTE DE CONCRETO (QUALQUER TIPO) SUPERIOR A 15 E ATÉ 23 METROS</t>
  </si>
  <si>
    <t>7.6.4</t>
  </si>
  <si>
    <t>INSTALAÇÃO DE POSTE DE CONCRETO (QUALQUER TIPO) SUPERIOR A 23 E ATÉ 30 METROS</t>
  </si>
  <si>
    <t>7.6.5</t>
  </si>
  <si>
    <t>MONTAGEM DE EST. DE CONCRETO - ESPECIAL</t>
  </si>
  <si>
    <t>7.6.6</t>
  </si>
  <si>
    <t>MONTAGEM DE ESTRUTURA CÔNICA DE AÇO, CD</t>
  </si>
  <si>
    <t>7.6.7</t>
  </si>
  <si>
    <t>MONTAGEM DE ESTRUTURA CÔNICA DE AÇO, CS</t>
  </si>
  <si>
    <t>7.6.8</t>
  </si>
  <si>
    <t>PROJETO EXECUTIVO DE ESTRUTURA METÁLICA</t>
  </si>
  <si>
    <t>7.6.9</t>
  </si>
  <si>
    <t>REVISÃO GERAL COMO CONSTRUÍDO "AS BUILT"</t>
  </si>
  <si>
    <t>7.7</t>
  </si>
  <si>
    <t>INSTALAÇÃO DE CABOS CONDUTORES/PARA-RAIOS</t>
  </si>
  <si>
    <t>7.7.1</t>
  </si>
  <si>
    <t>INSTALAÇÃO CONDUTOR 3 FASES ATÉ 1000 MCM</t>
  </si>
  <si>
    <t>7.7.2</t>
  </si>
  <si>
    <t>INSTALAÇÃO CONDUTOR 6 FASES ATÉ 1000 MCM</t>
  </si>
  <si>
    <t>7.7.3</t>
  </si>
  <si>
    <t>INSTALAÇÃO CABO PARA-RAIOS CONVENCIONAL</t>
  </si>
  <si>
    <t>7.7.4</t>
  </si>
  <si>
    <t>INSTALAÇÃO CONDUTOR 3 FASES C/PULLER</t>
  </si>
  <si>
    <t>7.7.5</t>
  </si>
  <si>
    <t>INSTALAÇÃO CONDUTOR 6 FASES C/PULLER</t>
  </si>
  <si>
    <t>7.7.6</t>
  </si>
  <si>
    <t>INSTALAÇÃO CABO PARA-RAIOS CONV. PULLER</t>
  </si>
  <si>
    <t>7.7.7</t>
  </si>
  <si>
    <t>REBOBINAMENTO DE CABO</t>
  </si>
  <si>
    <t>7.8</t>
  </si>
  <si>
    <t>SERVIÇOS PARA O CABO OPGW</t>
  </si>
  <si>
    <t>7.8.1</t>
  </si>
  <si>
    <t>COMISSIONAMENTO/TESTES OPGW/FIBRA ÓPTICA</t>
  </si>
  <si>
    <t>7.8.2</t>
  </si>
  <si>
    <t>INSTALAÇÃO CABO OPGW - DESENERGIZADO</t>
  </si>
  <si>
    <t>7.8.3</t>
  </si>
  <si>
    <t>RETIRADA CABO OPGW - LINHA DESENERGIZADA</t>
  </si>
  <si>
    <t>7.8.4</t>
  </si>
  <si>
    <t>SUPERVISÃO DA INSTALAÇÃO DO CABO OPGW</t>
  </si>
  <si>
    <t>7.8.5</t>
  </si>
  <si>
    <t>TREINAMENTO MANUSEIO OPGW/DIELÉTRICO</t>
  </si>
  <si>
    <t>7.8.6</t>
  </si>
  <si>
    <t>INSTALAÇÃO DO CABO DIELÉTRICO</t>
  </si>
  <si>
    <t>7.8.7</t>
  </si>
  <si>
    <t>INST. CAIXA, EXEC. DE EMENDAS ÓPTICAS</t>
  </si>
  <si>
    <t>7.8.8</t>
  </si>
  <si>
    <t>PROJETO EXECUTIVO DO CABO OPGW</t>
  </si>
  <si>
    <t>7.8.9</t>
  </si>
  <si>
    <t>PROJETO EXECUTIVO DO CABO DIELÉTRICO</t>
  </si>
  <si>
    <t>8.0</t>
  </si>
  <si>
    <t>DESATIVAÇÃO</t>
  </si>
  <si>
    <t>8.1</t>
  </si>
  <si>
    <t>RETIRADA CONDUTOR 3 FASES ATÉ 1000 MCM</t>
  </si>
  <si>
    <t>8.2</t>
  </si>
  <si>
    <t>DESMONTAGEM CABO PÁRA-RAIOS LINHA MORTA</t>
  </si>
  <si>
    <t>8.3</t>
  </si>
  <si>
    <t>DESMONT. A MÃO DE ESTRUTURAS METÁLICAS</t>
  </si>
  <si>
    <t>8.4</t>
  </si>
  <si>
    <t>DESMONTAGEM DE EST. CONCRETO ATÉ 15 M</t>
  </si>
  <si>
    <t>8.5</t>
  </si>
  <si>
    <t>DESMONT. DE EST. DE CONC. DE 15 A 23M</t>
  </si>
  <si>
    <t>8.6</t>
  </si>
  <si>
    <t>DESMONT. DE EST. DE CONC. DE 23 A 30M</t>
  </si>
  <si>
    <t>8.7</t>
  </si>
  <si>
    <t>DESMONT. DE EST. DE CONC. - ESPECIAL</t>
  </si>
  <si>
    <t>8.8</t>
  </si>
  <si>
    <t>DESMONT. DE ESTRUTURA CÔNICA DE AÇO - CD</t>
  </si>
  <si>
    <t>8.9</t>
  </si>
  <si>
    <t>DESMONT. DE ESTRUTURA CÔNICA DE AÇO - CS</t>
  </si>
  <si>
    <t>8.10</t>
  </si>
  <si>
    <t>RETIRADA DE CADEIA DE SUSPENSÃO - DESAT.</t>
  </si>
  <si>
    <t>8.11</t>
  </si>
  <si>
    <t xml:space="preserve">RETIRADA DE CADEIA DE ANCORAGEM SIMPLES </t>
  </si>
  <si>
    <t>8.12</t>
  </si>
  <si>
    <t>INSTALAÇÃO/RETIRADA DE ARRANJO PR</t>
  </si>
  <si>
    <t>9.0</t>
  </si>
  <si>
    <t>SERVIÇOS COMPLEMENTARES EM SUBESTAÇÃO</t>
  </si>
  <si>
    <t>9.1</t>
  </si>
  <si>
    <t>ELIMINAÇÃO DE PONTOS QUENTES EM EQUIPAMENTOS ELÉTRICOS DE POTENCIA</t>
  </si>
  <si>
    <t>9.2</t>
  </si>
  <si>
    <t>MANUTENÇÃO PREVENTIVA DE DISJUNTOR ENTRE 13,8 E 34,5 KV (GÁS SF6 - PVO - VÁCUO)</t>
  </si>
  <si>
    <t>9.3</t>
  </si>
  <si>
    <t>MANUTENÇÃO DE ILUMINAÇÃO EM SUBESTAÇÕES ATÉ 34,5 KV</t>
  </si>
  <si>
    <t>9.4</t>
  </si>
  <si>
    <t>MANUTENÇÃO PREVENTIVA DE DISJUNTOR ENTRE 69 E 138 KV (GÁS SF6 - PVO)</t>
  </si>
  <si>
    <t>9.5</t>
  </si>
  <si>
    <t xml:space="preserve">COMPLEMENTO DE GÁS SF6 EM DISJUNTORES </t>
  </si>
  <si>
    <t>EQUIPAM.</t>
  </si>
  <si>
    <t>9.6</t>
  </si>
  <si>
    <t>TROCA DE TAP EM TRANSFORMADOR COM COMUTADOR SEM CARGA</t>
  </si>
  <si>
    <t>9.7</t>
  </si>
  <si>
    <t>PINTURA DE EQUIPAMENTOS EM SUBESTAÇÕES, EXCETO TRANSFORMADOR</t>
  </si>
  <si>
    <t>9.8</t>
  </si>
  <si>
    <t>MANUTENÇÃO DE ILUMINAÇÃO EM SUBESTAÇÕES DE 69 KV A 138 KV</t>
  </si>
  <si>
    <t>9.9</t>
  </si>
  <si>
    <t>SUBSTITUIÇÃO DE PÓLO / ISOLADOR DE DISJUNTOR 13,8 À 138 KV</t>
  </si>
  <si>
    <t>9.10</t>
  </si>
  <si>
    <t>SUBSTITUIÇÃO DE REGULADOR DE TENSÃO</t>
  </si>
  <si>
    <t>9.11</t>
  </si>
  <si>
    <t>APLICAÇÃO DE VÁCUO EM DISJUNTORES</t>
  </si>
  <si>
    <t>9.12</t>
  </si>
  <si>
    <t>MANUTENÇÃO EM PAINEIS DE SISTEMAS DE SUPERVISÃO E CONTRELE (SSC) E REGISTRADORES DE DIGITAIS DE PERTURBAÇÃO (RDP)</t>
  </si>
  <si>
    <t>PAINEL</t>
  </si>
  <si>
    <t>9.13</t>
  </si>
  <si>
    <t>IMPLANTAÇÃO DE AJUSTES E LÓGICAS EM RELÉ DE DISTANCIA (21) OU DIFERENCIAL (87) OU DIRECIONAL (67)</t>
  </si>
  <si>
    <t>9.14</t>
  </si>
  <si>
    <t>IMPLANTAÇÃO DE AJUSTES E LÓGICAS EM RELÉS EXCETO 21 E 87 E 67</t>
  </si>
  <si>
    <t>9.15</t>
  </si>
  <si>
    <t>MANUTENÇÃO E TESTE EM RELE DISTÂNCIA (21), DIFERENCIAL (87), DIRECIONAL (67)</t>
  </si>
  <si>
    <t>9.16</t>
  </si>
  <si>
    <t>MANUTENÇÃO E TESTE DE RELÉ DE PROTEÇÃO, EXCETO 21, 67 E 87</t>
  </si>
  <si>
    <t>9.17</t>
  </si>
  <si>
    <t>INSTALAÇÃO OU SUBSTITUIÇÃO DE COMPONENTE PRINCIPAL DE PAINEL</t>
  </si>
  <si>
    <t>9.18</t>
  </si>
  <si>
    <t>INSTALAÇÃO/ SUSTITUIÇÃO DE COMPONENTE SECUNDÁRIO</t>
  </si>
  <si>
    <t>9.19</t>
  </si>
  <si>
    <t>ENS RESIST ISOL CC CABO ISOL  1000mm ²</t>
  </si>
  <si>
    <t>9.20</t>
  </si>
  <si>
    <t>ENS TENSAO APLIC CACC CABO ISOL 1000mm ²</t>
  </si>
  <si>
    <t>9.21</t>
  </si>
  <si>
    <t xml:space="preserve">CONFEC EMENDA EM CABO ISOL ATÉ 630MM² </t>
  </si>
  <si>
    <t>9.22</t>
  </si>
  <si>
    <t>RETIRADA/DESMONT CHAV VÁCUO 13,8/34,5KV</t>
  </si>
  <si>
    <t>9.23</t>
  </si>
  <si>
    <t xml:space="preserve">MONT CHAVE A VÁCUO  13,8 KV E 34,5KV </t>
  </si>
  <si>
    <t>9.24</t>
  </si>
  <si>
    <t xml:space="preserve">COMIS CHAVE A VÁCUO ENTRE 13,8/34,5 KV </t>
  </si>
  <si>
    <t>9.25</t>
  </si>
  <si>
    <t>ENS RESIST DE ISOL CC DJ 13,8 E 138 KV</t>
  </si>
  <si>
    <t>9.26</t>
  </si>
  <si>
    <t>ENS RESIST OHMICA CONT DJ 13,8 E 138 KV</t>
  </si>
  <si>
    <t>9.27</t>
  </si>
  <si>
    <t>ENS TEMP OP-OSCILOGRAFIA DJ 13,8/138KV</t>
  </si>
  <si>
    <t>9.28</t>
  </si>
  <si>
    <t>ENS RESIST ISOL CC RELIG 13,8/34,5KV</t>
  </si>
  <si>
    <t>9.29</t>
  </si>
  <si>
    <t>ENS RESIST OHMICA CONT RELIG 13,8/34,5KV</t>
  </si>
  <si>
    <t>9.30</t>
  </si>
  <si>
    <t>ENS ELET RELAÇÃO DE TRANSFORMAÇAO TRAFO</t>
  </si>
  <si>
    <t>9.31</t>
  </si>
  <si>
    <t>ENS ELET RESIST ELET ENROL TRAFO</t>
  </si>
  <si>
    <t>9.32</t>
  </si>
  <si>
    <t>ENS ELET RESIST ISOL TRAFO</t>
  </si>
  <si>
    <t>9.33</t>
  </si>
  <si>
    <t>ENS ELET FP ISOLAMENTO TRAFO</t>
  </si>
  <si>
    <t>9.34</t>
  </si>
  <si>
    <t>ENS ELE CORRENT EXCIT TENSÃO REDUZ TRAFO</t>
  </si>
  <si>
    <t>9.35</t>
  </si>
  <si>
    <t>ENS ELET BUCHAS CONDENSIVAS TRAFO</t>
  </si>
  <si>
    <t>9.36</t>
  </si>
  <si>
    <t>ENS ELET EM TRAFO CORRENTE BUCHAS TRAFO</t>
  </si>
  <si>
    <t>9.37</t>
  </si>
  <si>
    <t>ENS ELET REL TRANSFORMAÇÃO TRAFO INSTRUM</t>
  </si>
  <si>
    <t>9.38</t>
  </si>
  <si>
    <t>ENS ELET RESIST ELET ENROL TRAFO INSTRUM</t>
  </si>
  <si>
    <t>9.39</t>
  </si>
  <si>
    <t>ENS ELEL RESIST ISOL TRAFO INSTRUM</t>
  </si>
  <si>
    <t>9.40</t>
  </si>
  <si>
    <t>ENS ELEL LEVANT CUR SATUR TRAFO CORRENTE</t>
  </si>
  <si>
    <t>9.41</t>
  </si>
  <si>
    <t>ENS ELET FPERDAS ISOL TRAFO INSTRU</t>
  </si>
  <si>
    <t>9.42</t>
  </si>
  <si>
    <t>CONFEC CAIX MAD BUCHA CONDENS 34,5-230KV</t>
  </si>
  <si>
    <t>9.43</t>
  </si>
  <si>
    <t>MED URSI TRAFO PREVIAMENTE PRESSURIZADO</t>
  </si>
  <si>
    <t>9.44</t>
  </si>
  <si>
    <t>INSTAL SE MÓVEL/TRAFO MÓVEL-36,2 KV</t>
  </si>
  <si>
    <t>9.45</t>
  </si>
  <si>
    <t>INSTAL SE MÓVEL/TRAFO MÓVEL-72,5 KV</t>
  </si>
  <si>
    <t>9.46</t>
  </si>
  <si>
    <t>INSTAL SE MÓVEL/TRAFO MÓVEL-145 KV</t>
  </si>
  <si>
    <t>9.47</t>
  </si>
  <si>
    <t>DESINST SE MÓVEL/TRAFO MÓVEL-36,2KV</t>
  </si>
  <si>
    <t>9.48</t>
  </si>
  <si>
    <t>DESINST SE MÓVEL/TRAFO MÓVEL-72,5 KV</t>
  </si>
  <si>
    <t>9.49</t>
  </si>
  <si>
    <t>DESINST SE MÓVEL/TRAFO MÓVEL-145 KV</t>
  </si>
  <si>
    <t>9.50</t>
  </si>
  <si>
    <t>COMIS COMPL SPCSMÓVEL/TRAFOMÓVEL -36,2KV</t>
  </si>
  <si>
    <t>9.51</t>
  </si>
  <si>
    <t>COMIS COMPL SPCSMÓVEL/TRAFOMÓVEL -72,5KV</t>
  </si>
  <si>
    <t>9.52</t>
  </si>
  <si>
    <t>COMIS COMPL SPCSMÓVEL/TRAFOMÓVEL -145KV</t>
  </si>
  <si>
    <t>9.53</t>
  </si>
  <si>
    <t>9.54</t>
  </si>
  <si>
    <t>9.55</t>
  </si>
  <si>
    <t>COMIS COMPL SPCS MOVEL/TRAFO MOVEL-145KV</t>
  </si>
  <si>
    <t>9.56</t>
  </si>
  <si>
    <t>PLAT ART ELEV CAP 230KG ALT 20 METROS</t>
  </si>
  <si>
    <t>EQ.DIA</t>
  </si>
  <si>
    <t>9.57</t>
  </si>
  <si>
    <t>GUINDASTE PARA 10 TONELADAS</t>
  </si>
  <si>
    <t>9.58</t>
  </si>
  <si>
    <t xml:space="preserve">GUINDASTE PARA ATÉ 80 TONELADAS </t>
  </si>
  <si>
    <t>9.59</t>
  </si>
  <si>
    <t>INSTAL PAINEL SUPERVISÓRIO E IHM</t>
  </si>
  <si>
    <t>9.60</t>
  </si>
  <si>
    <t>DESATE PAINEL SUPERVISÓRIO E IHM</t>
  </si>
  <si>
    <t>10.0</t>
  </si>
  <si>
    <t>SERVIÇOS COMPLEMENTARES DE LINHAS</t>
  </si>
  <si>
    <t>10.1</t>
  </si>
  <si>
    <t>ABERTURA (OU FECHAMENTO) DE JUMPERS DE UM CIRCUITO ENTRE 69 E 138 ​​KV</t>
  </si>
  <si>
    <t>10.2</t>
  </si>
  <si>
    <t>APLICAÇÃO DE ADITIVO PARA CONCRETO TIPO A1</t>
  </si>
  <si>
    <t>10.3</t>
  </si>
  <si>
    <t>APLICAÇÃO DE ADITIVO PARA CONCRETO TIPO A2</t>
  </si>
  <si>
    <t>10.4</t>
  </si>
  <si>
    <t>ATENDIMENTO DE CHAMADO DE EMERGÊNCIA EM HORÁRIOS NÃO ÚTEIS EM LT - LM</t>
  </si>
  <si>
    <t>EVENTO</t>
  </si>
  <si>
    <t>10.5</t>
  </si>
  <si>
    <t>DESMONTAGEM DE POSTE DE MADEIRA (QUALQUER TIPO) DE 15 ATÉ 23 METROS</t>
  </si>
  <si>
    <t>10.6</t>
  </si>
  <si>
    <t>DESMONTAGEM DE POSTE DE METAL (QUALQUER TIPO) DE 9 ATÉ 15 METROS</t>
  </si>
  <si>
    <t>10.7</t>
  </si>
  <si>
    <t>FORNECIMENTO DE ESTRUTURAS METALICAS</t>
  </si>
  <si>
    <t>10.8</t>
  </si>
  <si>
    <t>INSTALAÇÃO / SUBSTITUIÇÃO DE AMORTECEDOR</t>
  </si>
  <si>
    <t>10.9</t>
  </si>
  <si>
    <t>INSTALAÇÃO DE POSTE DE MADEIRA (QUALQUER TIPO) DE 15 ATÉ 23 METROS</t>
  </si>
  <si>
    <t>10.10</t>
  </si>
  <si>
    <t>INSTALAÇÃO DE POSTES METAL (QUALQUER TIPO) DE 9 ATÉ 15 METROS</t>
  </si>
  <si>
    <t>10.11</t>
  </si>
  <si>
    <t>INSTALAÇÃO DE REPARO EM CABO PÁRA-RAIOS (SEM FIBRA OPTICA / OPGW)</t>
  </si>
  <si>
    <t>10.12</t>
  </si>
  <si>
    <t>INSTALAÇÃO OU SUBSTITUIÇÃO DE ELETRODOS DE ATERRAMENTO.</t>
  </si>
  <si>
    <t>10.13</t>
  </si>
  <si>
    <t>INSTALAÇÃO OU SUBSTITUIÇÃO DE ESTAI</t>
  </si>
  <si>
    <t>10.14</t>
  </si>
  <si>
    <t>INSTALAÇÃO PÁRA-RAIOS DE ÓXIDO DE ZINCO</t>
  </si>
  <si>
    <t>10.15</t>
  </si>
  <si>
    <t xml:space="preserve">INSTALAÇÃO/SUBSTITUIÇÃO DE  REPARO OU EMENDA PREFORMADA </t>
  </si>
  <si>
    <t>10.16</t>
  </si>
  <si>
    <t>LIMPEZA MANUAL DE CADEIA DE ISOLADORES OU ISOLADOR ENTRE 69 E 138 KV</t>
  </si>
  <si>
    <t>CADEIA</t>
  </si>
  <si>
    <t>10.17</t>
  </si>
  <si>
    <t>MEDIÇÃO DA ALTURA DO CONDUTOR</t>
  </si>
  <si>
    <t>10.18</t>
  </si>
  <si>
    <t>MONTAGEM / DESMONTAGEM DE TORRE DE EMERGÊNCIA</t>
  </si>
  <si>
    <t>MÓDULO</t>
  </si>
  <si>
    <t>10.19</t>
  </si>
  <si>
    <t>NIVELAR CRUZETAS</t>
  </si>
  <si>
    <t>10.20</t>
  </si>
  <si>
    <t>PINTURA MAIOR DE ESTRUTURAS OU POSTES METÁLICOS</t>
  </si>
  <si>
    <t>10.21</t>
  </si>
  <si>
    <t>PINTURA SIMPLE DE ESTRUTURAS OU POSTES METÁLICOS</t>
  </si>
  <si>
    <t>10.22</t>
  </si>
  <si>
    <t>RETENSIONAMENTO DE CONDUTOR</t>
  </si>
  <si>
    <t>10.23</t>
  </si>
  <si>
    <t>REVISÃO E/OU SUBSTITUIÇÃO DE CONEXÕES DE 69 A 138 KV</t>
  </si>
  <si>
    <t>10.24</t>
  </si>
  <si>
    <t>SINALIZAÇÃO DE ESTRUTURAS COM PINTURA</t>
  </si>
  <si>
    <t>10.25</t>
  </si>
  <si>
    <t>SUBSTITUIÇÃO (OU DE ABERTURA E FECHAMENTO) DE JUMPERS DE UM CIRCUITO ENTRE 69 E 138 ​​KV</t>
  </si>
  <si>
    <t>10.26</t>
  </si>
  <si>
    <t>SUBSTITUIÇÃO DE AMARRAÇÃO DE ISOLADORES</t>
  </si>
  <si>
    <t>10.27</t>
  </si>
  <si>
    <t>SUBSTITUIÇÃO DE CADEIA OU ISOLADOR DE ANCORAGEM (RETENÇÃO) DUPLA ENTRE 69 E 138 KV</t>
  </si>
  <si>
    <t>10.28</t>
  </si>
  <si>
    <t>SUBSTITUIÇÃO DE CADEIA OU ISOLADOR DE SUSPENSÃO DUPLA ENTRE 69 E 138 KV</t>
  </si>
  <si>
    <t>10.29</t>
  </si>
  <si>
    <t>SUBSTITUIÇÃO DE CRUZETAS</t>
  </si>
  <si>
    <t>10.30</t>
  </si>
  <si>
    <t>SUBSTITUIÇÃO DE FERRAGENS EM CABO PÁRA-RAIOS</t>
  </si>
  <si>
    <t>10.31</t>
  </si>
  <si>
    <t>SUBSTITUIÇÃO DE FIO CONTRAPESO</t>
  </si>
  <si>
    <t>10.32</t>
  </si>
  <si>
    <t>SUBSTITUIÇÃO OU INSTALAÇÃO DE PEÇAS E PARAFUSOS - LM</t>
  </si>
  <si>
    <t>10.33</t>
  </si>
  <si>
    <t>SUBSTITUIÇÃO OU REFORÇO DE PERFIS EM TORRES DE ALTA TENSÃO</t>
  </si>
  <si>
    <t>10.34</t>
  </si>
  <si>
    <t>TRANSF. DE CABO CONDUTOR (1CIRC.3 FASES)</t>
  </si>
  <si>
    <t>10.35</t>
  </si>
  <si>
    <t>TRANSFERENCIA DE CABO PÁRA-RAIOS</t>
  </si>
  <si>
    <t>10.36</t>
  </si>
  <si>
    <t>TRANSFERÊNCIA DE CADEIA DE SUSPENSÃO EM ANCORAGEM COM BALANCIM</t>
  </si>
  <si>
    <t>10.37</t>
  </si>
  <si>
    <t>TRATAMENTO ANTIÓXIDO NA BASE DA ESTRUTURA</t>
  </si>
  <si>
    <t>ESTRUTURA</t>
  </si>
  <si>
    <t>10.38</t>
  </si>
  <si>
    <t>TURNO PREVENTIVO ESPECIAL EM LT</t>
  </si>
  <si>
    <t>H</t>
  </si>
  <si>
    <t>10.39</t>
  </si>
  <si>
    <t>LIMPEZA MANUAL DE CADEIAS DE ISOLADORES</t>
  </si>
  <si>
    <t>10.40</t>
  </si>
  <si>
    <t>SUBST. DE CADEIAS OU ISOLAD. (DUPLA)</t>
  </si>
  <si>
    <t>10.41</t>
  </si>
  <si>
    <t>SUBST. DE CADEIAS OU ISOLAD. (SIMPLES)</t>
  </si>
  <si>
    <t>10.42</t>
  </si>
  <si>
    <t>SUBST. CADEIA INST. DE PROT. ANTI-FAUNA</t>
  </si>
  <si>
    <t>10.43</t>
  </si>
  <si>
    <t>SUBST. CADEIAS OU ISOLADORES DE SUSP.</t>
  </si>
  <si>
    <t>10.44</t>
  </si>
  <si>
    <t>SUBST. CADEIAS SUSP. PROT. ANTI-FAUNA</t>
  </si>
  <si>
    <t>10.45</t>
  </si>
  <si>
    <t>SUBST. CAD. SUSP. SIMP. PROT. ANTI-FAUNA</t>
  </si>
  <si>
    <t>10.46</t>
  </si>
  <si>
    <t>SUBST. CADEIAS OU ISOL. DE SUSP. SIMP.</t>
  </si>
  <si>
    <t>10.47</t>
  </si>
  <si>
    <t>SUBST. FERRAG. EM ISOLADORES ANCORAGEM</t>
  </si>
  <si>
    <t>10.48</t>
  </si>
  <si>
    <t>SUBST. FERRAG. EM ISOLADORES SUSPENSÃO</t>
  </si>
  <si>
    <t>10.49</t>
  </si>
  <si>
    <t>SUB. CADEIAS SUSP. PROT. ANTI-FAUNA</t>
  </si>
  <si>
    <t>10.50</t>
  </si>
  <si>
    <t>CORREÇÃO DE PONTO QUENTE EM EMENDAS</t>
  </si>
  <si>
    <t>10.51</t>
  </si>
  <si>
    <t>INSTALAÇÃO DE PROTEÇÃO ANTI-FAUNA</t>
  </si>
  <si>
    <t>10.52</t>
  </si>
  <si>
    <t>INSTALAÇÃO DE PONTE SAFENA</t>
  </si>
  <si>
    <t>10.53</t>
  </si>
  <si>
    <t>RET. E/OU INST. CABO ATERRAM. CRUZETAS</t>
  </si>
  <si>
    <t>11.0</t>
  </si>
  <si>
    <t>MATERIAL FATURAMENTO OBRA</t>
  </si>
  <si>
    <t>11.1</t>
  </si>
  <si>
    <t>FORNECIM. DE MATERIAIS MENORES ELETRICOS</t>
  </si>
  <si>
    <t xml:space="preserve">PREÇO UNIT. </t>
  </si>
  <si>
    <t>QTD</t>
  </si>
  <si>
    <t>PREÇO TOTAL</t>
  </si>
  <si>
    <t>MED 01</t>
  </si>
  <si>
    <t>MED 02</t>
  </si>
  <si>
    <t>MED 03</t>
  </si>
  <si>
    <t>MED 04</t>
  </si>
  <si>
    <t>MED 05</t>
  </si>
  <si>
    <t>MED 06</t>
  </si>
  <si>
    <t>MED 07</t>
  </si>
  <si>
    <t>MED 08</t>
  </si>
  <si>
    <t>MED 09</t>
  </si>
  <si>
    <t>ACUMULADO</t>
  </si>
  <si>
    <t>SALDO</t>
  </si>
  <si>
    <t>SERVIÇOS EXECUTADOS FORA DA AEO</t>
  </si>
  <si>
    <t>SETORES 138/34,5/13,8kV</t>
  </si>
  <si>
    <t>SDAT CORUMBÁ</t>
  </si>
  <si>
    <t>RESUMO DA AEO - PEP/ GO2530108BCA0.K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</si>
</sst>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i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i/>
      <sz val="10"/>
      <name val="Calibri"/>
      <family val="2"/>
      <scheme val="minor"/>
    </font>
    <font>
      <i/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4" fontId="2" fillId="0" borderId="0" xfId="2" applyFont="1" applyAlignment="1">
      <alignment vertical="center"/>
    </xf>
    <xf numFmtId="44" fontId="2" fillId="0" borderId="0" xfId="2" applyFont="1" applyFill="1" applyAlignment="1">
      <alignment vertical="center"/>
    </xf>
    <xf numFmtId="0" fontId="3" fillId="2" borderId="0" xfId="0" applyFont="1" applyFill="1" applyAlignment="1">
      <alignment horizontal="centerContinuous" vertical="center"/>
    </xf>
    <xf numFmtId="0" fontId="4" fillId="2" borderId="0" xfId="0" applyFont="1" applyFill="1" applyAlignment="1">
      <alignment horizontal="centerContinuous" vertical="center"/>
    </xf>
    <xf numFmtId="0" fontId="5" fillId="2" borderId="0" xfId="0" applyFont="1" applyFill="1" applyAlignment="1">
      <alignment horizontal="centerContinuous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9" fillId="3" borderId="4" xfId="2" applyNumberFormat="1" applyFont="1" applyFill="1" applyBorder="1" applyAlignment="1">
      <alignment horizontal="left" vertical="center"/>
    </xf>
    <xf numFmtId="164" fontId="7" fillId="3" borderId="4" xfId="1" quotePrefix="1" applyNumberFormat="1" applyFont="1" applyFill="1" applyBorder="1" applyAlignment="1">
      <alignment horizontal="right" vertical="center"/>
    </xf>
    <xf numFmtId="164" fontId="7" fillId="3" borderId="4" xfId="2" applyNumberFormat="1" applyFont="1" applyFill="1" applyBorder="1" applyAlignment="1">
      <alignment vertical="center"/>
    </xf>
    <xf numFmtId="43" fontId="2" fillId="3" borderId="5" xfId="1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12" fillId="4" borderId="6" xfId="3" applyFont="1" applyFill="1" applyBorder="1" applyAlignment="1">
      <alignment horizontal="center" vertical="center"/>
    </xf>
    <xf numFmtId="0" fontId="10" fillId="4" borderId="7" xfId="3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3" fontId="9" fillId="4" borderId="7" xfId="2" applyNumberFormat="1" applyFont="1" applyFill="1" applyBorder="1" applyAlignment="1">
      <alignment horizontal="left" vertical="center"/>
    </xf>
    <xf numFmtId="44" fontId="10" fillId="4" borderId="7" xfId="2" applyFont="1" applyFill="1" applyBorder="1" applyAlignment="1">
      <alignment horizontal="right" vertical="center"/>
    </xf>
    <xf numFmtId="44" fontId="10" fillId="4" borderId="7" xfId="2" quotePrefix="1" applyFont="1" applyFill="1" applyBorder="1" applyAlignment="1">
      <alignment vertical="center"/>
    </xf>
    <xf numFmtId="44" fontId="10" fillId="4" borderId="7" xfId="2" quotePrefix="1" applyFont="1" applyFill="1" applyBorder="1" applyAlignment="1">
      <alignment horizontal="right" vertical="center"/>
    </xf>
    <xf numFmtId="43" fontId="8" fillId="4" borderId="8" xfId="1" quotePrefix="1" applyFont="1" applyFill="1" applyBorder="1" applyAlignment="1">
      <alignment vertical="center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2" fillId="5" borderId="9" xfId="0" applyFont="1" applyFill="1" applyBorder="1" applyAlignment="1">
      <alignment horizontal="justify" vertical="center" wrapText="1"/>
    </xf>
    <xf numFmtId="0" fontId="2" fillId="5" borderId="10" xfId="0" applyFont="1" applyFill="1" applyBorder="1" applyAlignment="1">
      <alignment horizontal="center" vertical="center"/>
    </xf>
    <xf numFmtId="4" fontId="2" fillId="0" borderId="10" xfId="2" applyNumberFormat="1" applyFont="1" applyFill="1" applyBorder="1" applyAlignment="1">
      <alignment horizontal="center" vertical="center"/>
    </xf>
    <xf numFmtId="164" fontId="2" fillId="0" borderId="9" xfId="1" applyNumberFormat="1" applyFont="1" applyFill="1" applyBorder="1" applyAlignment="1">
      <alignment vertical="center"/>
    </xf>
    <xf numFmtId="164" fontId="2" fillId="5" borderId="9" xfId="2" quotePrefix="1" applyNumberFormat="1" applyFont="1" applyFill="1" applyBorder="1" applyAlignment="1">
      <alignment vertical="center"/>
    </xf>
    <xf numFmtId="43" fontId="2" fillId="5" borderId="9" xfId="1" quotePrefix="1" applyFont="1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0" fillId="0" borderId="11" xfId="0" applyBorder="1"/>
    <xf numFmtId="0" fontId="14" fillId="0" borderId="9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2" fontId="2" fillId="0" borderId="10" xfId="2" applyNumberFormat="1" applyFont="1" applyFill="1" applyBorder="1" applyAlignment="1">
      <alignment horizontal="center" vertical="center"/>
    </xf>
    <xf numFmtId="4" fontId="9" fillId="4" borderId="7" xfId="2" applyNumberFormat="1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justify" vertical="center" wrapText="1"/>
    </xf>
    <xf numFmtId="0" fontId="16" fillId="6" borderId="8" xfId="3" applyFont="1" applyFill="1" applyBorder="1" applyAlignment="1">
      <alignment horizontal="left" vertical="center"/>
    </xf>
    <xf numFmtId="0" fontId="12" fillId="6" borderId="6" xfId="3" applyFont="1" applyFill="1" applyBorder="1" applyAlignment="1">
      <alignment horizontal="center" vertical="center"/>
    </xf>
    <xf numFmtId="0" fontId="16" fillId="6" borderId="7" xfId="3" applyFont="1" applyFill="1" applyBorder="1" applyAlignment="1">
      <alignment horizontal="left" vertical="center"/>
    </xf>
    <xf numFmtId="0" fontId="17" fillId="6" borderId="7" xfId="3" applyFont="1" applyFill="1" applyBorder="1" applyAlignment="1">
      <alignment horizontal="center" vertical="center"/>
    </xf>
    <xf numFmtId="4" fontId="17" fillId="6" borderId="7" xfId="3" applyNumberFormat="1" applyFont="1" applyFill="1" applyBorder="1" applyAlignment="1">
      <alignment horizontal="center" vertical="center"/>
    </xf>
    <xf numFmtId="0" fontId="8" fillId="6" borderId="7" xfId="3" applyFont="1" applyFill="1" applyBorder="1" applyAlignment="1">
      <alignment horizontal="right" vertical="center"/>
    </xf>
    <xf numFmtId="44" fontId="8" fillId="6" borderId="7" xfId="2" applyFont="1" applyFill="1" applyBorder="1" applyAlignment="1">
      <alignment horizontal="center" vertical="center"/>
    </xf>
    <xf numFmtId="0" fontId="10" fillId="6" borderId="8" xfId="3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center" vertical="center"/>
    </xf>
    <xf numFmtId="164" fontId="2" fillId="0" borderId="2" xfId="1" applyNumberFormat="1" applyFont="1" applyFill="1" applyBorder="1" applyAlignment="1">
      <alignment vertical="center"/>
    </xf>
    <xf numFmtId="164" fontId="2" fillId="5" borderId="2" xfId="2" quotePrefix="1" applyNumberFormat="1" applyFont="1" applyFill="1" applyBorder="1" applyAlignment="1">
      <alignment vertical="center"/>
    </xf>
    <xf numFmtId="43" fontId="2" fillId="5" borderId="2" xfId="1" quotePrefix="1" applyFont="1" applyFill="1" applyBorder="1" applyAlignment="1">
      <alignment vertical="center"/>
    </xf>
    <xf numFmtId="0" fontId="13" fillId="0" borderId="10" xfId="0" applyFont="1" applyBorder="1" applyAlignment="1">
      <alignment horizontal="left" vertical="center"/>
    </xf>
    <xf numFmtId="164" fontId="2" fillId="0" borderId="10" xfId="4" quotePrefix="1" applyNumberFormat="1" applyFont="1" applyFill="1" applyBorder="1" applyAlignment="1">
      <alignment vertical="center"/>
    </xf>
    <xf numFmtId="164" fontId="2" fillId="5" borderId="10" xfId="2" quotePrefix="1" applyNumberFormat="1" applyFont="1" applyFill="1" applyBorder="1" applyAlignment="1">
      <alignment vertical="center"/>
    </xf>
    <xf numFmtId="43" fontId="2" fillId="5" borderId="10" xfId="1" quotePrefix="1" applyFont="1" applyFill="1" applyBorder="1" applyAlignment="1">
      <alignment vertical="center"/>
    </xf>
    <xf numFmtId="0" fontId="13" fillId="5" borderId="10" xfId="0" applyFont="1" applyFill="1" applyBorder="1" applyAlignment="1">
      <alignment horizontal="left" vertical="center"/>
    </xf>
    <xf numFmtId="44" fontId="2" fillId="0" borderId="10" xfId="2" applyFont="1" applyFill="1" applyBorder="1" applyAlignment="1">
      <alignment horizontal="center" vertical="center"/>
    </xf>
    <xf numFmtId="44" fontId="2" fillId="0" borderId="10" xfId="2" applyFont="1" applyFill="1" applyBorder="1" applyAlignment="1">
      <alignment vertical="center"/>
    </xf>
    <xf numFmtId="0" fontId="18" fillId="0" borderId="10" xfId="0" applyFont="1" applyBorder="1" applyAlignment="1">
      <alignment horizontal="justify" vertical="center" wrapText="1"/>
    </xf>
    <xf numFmtId="164" fontId="2" fillId="0" borderId="10" xfId="1" applyNumberFormat="1" applyFont="1" applyFill="1" applyBorder="1" applyAlignment="1">
      <alignment vertical="center"/>
    </xf>
    <xf numFmtId="0" fontId="16" fillId="7" borderId="1" xfId="0" applyFont="1" applyFill="1" applyBorder="1" applyAlignment="1">
      <alignment horizontal="left" vertical="center"/>
    </xf>
    <xf numFmtId="0" fontId="16" fillId="7" borderId="6" xfId="0" applyFont="1" applyFill="1" applyBorder="1" applyAlignment="1">
      <alignment horizontal="left" vertical="center"/>
    </xf>
    <xf numFmtId="0" fontId="16" fillId="7" borderId="7" xfId="0" applyFont="1" applyFill="1" applyBorder="1" applyAlignment="1">
      <alignment horizontal="justify" vertical="center"/>
    </xf>
    <xf numFmtId="0" fontId="19" fillId="7" borderId="7" xfId="0" applyFont="1" applyFill="1" applyBorder="1" applyAlignment="1">
      <alignment horizontal="left" vertical="center"/>
    </xf>
    <xf numFmtId="4" fontId="19" fillId="7" borderId="7" xfId="0" applyNumberFormat="1" applyFont="1" applyFill="1" applyBorder="1" applyAlignment="1">
      <alignment horizontal="left" vertical="center"/>
    </xf>
    <xf numFmtId="44" fontId="16" fillId="7" borderId="7" xfId="2" applyFont="1" applyFill="1" applyBorder="1" applyAlignment="1">
      <alignment horizontal="right" vertical="center"/>
    </xf>
    <xf numFmtId="44" fontId="16" fillId="7" borderId="7" xfId="2" quotePrefix="1" applyFont="1" applyFill="1" applyBorder="1" applyAlignment="1">
      <alignment vertical="center"/>
    </xf>
    <xf numFmtId="43" fontId="16" fillId="7" borderId="8" xfId="1" quotePrefix="1" applyFont="1" applyFill="1" applyBorder="1" applyAlignment="1">
      <alignment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6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justify" vertical="center" wrapText="1"/>
    </xf>
    <xf numFmtId="0" fontId="16" fillId="8" borderId="7" xfId="0" applyFont="1" applyFill="1" applyBorder="1" applyAlignment="1">
      <alignment horizontal="center" vertical="center"/>
    </xf>
    <xf numFmtId="4" fontId="16" fillId="8" borderId="7" xfId="0" applyNumberFormat="1" applyFont="1" applyFill="1" applyBorder="1" applyAlignment="1">
      <alignment horizontal="center" vertical="center"/>
    </xf>
    <xf numFmtId="164" fontId="16" fillId="8" borderId="7" xfId="2" applyNumberFormat="1" applyFont="1" applyFill="1" applyBorder="1" applyAlignment="1">
      <alignment horizontal="right" vertical="center"/>
    </xf>
    <xf numFmtId="44" fontId="16" fillId="8" borderId="7" xfId="2" quotePrefix="1" applyFont="1" applyFill="1" applyBorder="1" applyAlignment="1">
      <alignment vertical="center"/>
    </xf>
    <xf numFmtId="43" fontId="16" fillId="8" borderId="8" xfId="1" quotePrefix="1" applyFont="1" applyFill="1" applyBorder="1" applyAlignment="1">
      <alignment vertical="center"/>
    </xf>
    <xf numFmtId="0" fontId="13" fillId="5" borderId="13" xfId="0" applyFont="1" applyFill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justify" vertical="center" wrapText="1"/>
    </xf>
    <xf numFmtId="0" fontId="2" fillId="5" borderId="14" xfId="0" applyFont="1" applyFill="1" applyBorder="1" applyAlignment="1">
      <alignment horizontal="center" vertical="center"/>
    </xf>
    <xf numFmtId="4" fontId="2" fillId="0" borderId="14" xfId="2" applyNumberFormat="1" applyFont="1" applyFill="1" applyBorder="1" applyAlignment="1">
      <alignment horizontal="center" vertical="center"/>
    </xf>
    <xf numFmtId="164" fontId="2" fillId="0" borderId="15" xfId="1" applyNumberFormat="1" applyFont="1" applyFill="1" applyBorder="1" applyAlignment="1">
      <alignment vertical="center"/>
    </xf>
    <xf numFmtId="164" fontId="2" fillId="5" borderId="15" xfId="2" quotePrefix="1" applyNumberFormat="1" applyFont="1" applyFill="1" applyBorder="1" applyAlignment="1">
      <alignment vertical="center"/>
    </xf>
    <xf numFmtId="43" fontId="2" fillId="5" borderId="15" xfId="1" quotePrefix="1" applyFont="1" applyFill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justify" vertical="center" wrapText="1"/>
    </xf>
    <xf numFmtId="0" fontId="2" fillId="5" borderId="16" xfId="0" applyFont="1" applyFill="1" applyBorder="1" applyAlignment="1">
      <alignment horizontal="center" vertical="center"/>
    </xf>
    <xf numFmtId="4" fontId="2" fillId="0" borderId="16" xfId="2" applyNumberFormat="1" applyFont="1" applyFill="1" applyBorder="1" applyAlignment="1">
      <alignment horizontal="center" vertical="center"/>
    </xf>
    <xf numFmtId="164" fontId="2" fillId="0" borderId="13" xfId="1" applyNumberFormat="1" applyFont="1" applyFill="1" applyBorder="1" applyAlignment="1">
      <alignment vertical="center"/>
    </xf>
    <xf numFmtId="164" fontId="2" fillId="5" borderId="13" xfId="2" quotePrefix="1" applyNumberFormat="1" applyFont="1" applyFill="1" applyBorder="1" applyAlignment="1">
      <alignment vertical="center"/>
    </xf>
    <xf numFmtId="43" fontId="2" fillId="5" borderId="13" xfId="1" quotePrefix="1" applyFont="1" applyFill="1" applyBorder="1" applyAlignment="1">
      <alignment vertical="center"/>
    </xf>
    <xf numFmtId="0" fontId="2" fillId="5" borderId="12" xfId="0" applyFont="1" applyFill="1" applyBorder="1" applyAlignment="1">
      <alignment horizontal="center" vertical="center"/>
    </xf>
    <xf numFmtId="4" fontId="2" fillId="0" borderId="12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6" fillId="2" borderId="1" xfId="1" applyFont="1" applyFill="1" applyBorder="1" applyAlignment="1">
      <alignment horizontal="center" vertical="center" wrapText="1"/>
    </xf>
    <xf numFmtId="43" fontId="0" fillId="0" borderId="0" xfId="1" applyFont="1"/>
    <xf numFmtId="0" fontId="4" fillId="2" borderId="17" xfId="0" applyFont="1" applyFill="1" applyBorder="1" applyAlignment="1">
      <alignment horizontal="centerContinuous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43" fontId="2" fillId="5" borderId="24" xfId="1" quotePrefix="1" applyFont="1" applyFill="1" applyBorder="1" applyAlignment="1">
      <alignment vertical="center"/>
    </xf>
    <xf numFmtId="44" fontId="0" fillId="0" borderId="0" xfId="2" applyFont="1"/>
    <xf numFmtId="44" fontId="6" fillId="2" borderId="23" xfId="2" applyFont="1" applyFill="1" applyBorder="1" applyAlignment="1">
      <alignment horizontal="center" vertical="center" wrapText="1"/>
    </xf>
    <xf numFmtId="164" fontId="21" fillId="0" borderId="21" xfId="0" applyNumberFormat="1" applyFont="1" applyBorder="1" applyAlignment="1">
      <alignment vertical="center"/>
    </xf>
    <xf numFmtId="43" fontId="6" fillId="2" borderId="22" xfId="1" applyFont="1" applyFill="1" applyBorder="1" applyAlignment="1">
      <alignment horizontal="center" vertical="center" wrapText="1"/>
    </xf>
    <xf numFmtId="44" fontId="6" fillId="2" borderId="22" xfId="2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justify" vertical="center" wrapText="1"/>
    </xf>
    <xf numFmtId="0" fontId="2" fillId="9" borderId="10" xfId="0" applyFont="1" applyFill="1" applyBorder="1" applyAlignment="1">
      <alignment horizontal="center" vertical="center"/>
    </xf>
    <xf numFmtId="164" fontId="2" fillId="9" borderId="9" xfId="1" applyNumberFormat="1" applyFont="1" applyFill="1" applyBorder="1" applyAlignment="1">
      <alignment vertical="center"/>
    </xf>
    <xf numFmtId="164" fontId="2" fillId="9" borderId="25" xfId="2" quotePrefix="1" applyNumberFormat="1" applyFont="1" applyFill="1" applyBorder="1" applyAlignment="1">
      <alignment vertical="center"/>
    </xf>
    <xf numFmtId="44" fontId="2" fillId="9" borderId="9" xfId="2" applyFont="1" applyFill="1" applyBorder="1" applyAlignment="1">
      <alignment horizontal="justify" vertical="center" wrapText="1"/>
    </xf>
    <xf numFmtId="43" fontId="2" fillId="9" borderId="24" xfId="1" quotePrefix="1" applyFont="1" applyFill="1" applyBorder="1" applyAlignment="1">
      <alignment vertical="center"/>
    </xf>
    <xf numFmtId="164" fontId="2" fillId="9" borderId="24" xfId="2" quotePrefix="1" applyNumberFormat="1" applyFont="1" applyFill="1" applyBorder="1" applyAlignment="1">
      <alignment vertical="center"/>
    </xf>
    <xf numFmtId="0" fontId="0" fillId="5" borderId="0" xfId="0" applyFill="1"/>
    <xf numFmtId="0" fontId="6" fillId="10" borderId="26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 wrapText="1"/>
    </xf>
    <xf numFmtId="43" fontId="6" fillId="10" borderId="13" xfId="1" applyFont="1" applyFill="1" applyBorder="1" applyAlignment="1">
      <alignment horizontal="center" vertical="center" wrapText="1"/>
    </xf>
    <xf numFmtId="0" fontId="6" fillId="10" borderId="27" xfId="0" applyFont="1" applyFill="1" applyBorder="1" applyAlignment="1">
      <alignment horizontal="center" vertical="center" wrapText="1"/>
    </xf>
    <xf numFmtId="43" fontId="6" fillId="10" borderId="26" xfId="1" applyFont="1" applyFill="1" applyBorder="1" applyAlignment="1">
      <alignment horizontal="center" vertical="center" wrapText="1"/>
    </xf>
    <xf numFmtId="44" fontId="6" fillId="10" borderId="0" xfId="2" applyFont="1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9" fontId="2" fillId="0" borderId="24" xfId="1" quotePrefix="1" applyNumberFormat="1" applyFont="1" applyFill="1" applyBorder="1" applyAlignment="1">
      <alignment vertical="center"/>
    </xf>
    <xf numFmtId="43" fontId="2" fillId="0" borderId="24" xfId="1" quotePrefix="1" applyFont="1" applyFill="1" applyBorder="1" applyAlignment="1">
      <alignment vertical="center"/>
    </xf>
    <xf numFmtId="9" fontId="2" fillId="9" borderId="24" xfId="1" quotePrefix="1" applyNumberFormat="1" applyFont="1" applyFill="1" applyBorder="1" applyAlignment="1">
      <alignment vertical="center"/>
    </xf>
    <xf numFmtId="44" fontId="2" fillId="0" borderId="24" xfId="1" quotePrefix="1" applyNumberFormat="1" applyFont="1" applyFill="1" applyBorder="1" applyAlignment="1">
      <alignment vertical="center"/>
    </xf>
    <xf numFmtId="44" fontId="2" fillId="11" borderId="9" xfId="2" applyFont="1" applyFill="1" applyBorder="1" applyAlignment="1">
      <alignment horizontal="justify" vertical="center" wrapText="1"/>
    </xf>
    <xf numFmtId="0" fontId="13" fillId="0" borderId="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4" fontId="2" fillId="0" borderId="20" xfId="0" applyNumberFormat="1" applyFont="1" applyBorder="1" applyAlignment="1">
      <alignment horizontal="center" vertical="center"/>
    </xf>
    <xf numFmtId="165" fontId="21" fillId="0" borderId="20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4" fontId="21" fillId="0" borderId="20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</cellXfs>
  <cellStyles count="5">
    <cellStyle name="Moeda" xfId="2" builtinId="4"/>
    <cellStyle name="Normal" xfId="0" builtinId="0"/>
    <cellStyle name="Normal 2 2 2" xfId="3" xr:uid="{00000000-0005-0000-0000-000002000000}"/>
    <cellStyle name="Vírgula" xfId="1" builtinId="3"/>
    <cellStyle name="Vírgula 2" xfId="4" xr:uid="{00000000-0005-0000-0000-000004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3.png@01D5899D.17A57D9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3.png@01D5899D.17A57D90" TargetMode="External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3660589</xdr:colOff>
      <xdr:row>1</xdr:row>
      <xdr:rowOff>21112</xdr:rowOff>
    </xdr:from>
    <xdr:to>
      <xdr:col>3</xdr:col>
      <xdr:colOff>4532285</xdr:colOff>
      <xdr:row>1</xdr:row>
      <xdr:rowOff>306296</xdr:rowOff>
    </xdr:to>
    <xdr:pic>
      <xdr:nvPicPr>
        <xdr:cNvPr id="2" name="Imagem 1" descr="GRUPO EQUATORIAL ENERGIA EMAI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3789" y="21112"/>
          <a:ext cx="0" cy="2851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42802</xdr:colOff>
      <xdr:row>1</xdr:row>
      <xdr:rowOff>27815</xdr:rowOff>
    </xdr:from>
    <xdr:to>
      <xdr:col>0</xdr:col>
      <xdr:colOff>753015</xdr:colOff>
      <xdr:row>1</xdr:row>
      <xdr:rowOff>324837</xdr:rowOff>
    </xdr:to>
    <xdr:pic>
      <xdr:nvPicPr>
        <xdr:cNvPr id="3" name="Imagem 1" descr="GRUPO EQUATORIAL ENERGIA EMAIL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02" y="27815"/>
          <a:ext cx="710213" cy="297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147577</xdr:colOff>
      <xdr:row>0</xdr:row>
      <xdr:rowOff>18290</xdr:rowOff>
    </xdr:from>
    <xdr:to>
      <xdr:col>0</xdr:col>
      <xdr:colOff>686340</xdr:colOff>
      <xdr:row>0</xdr:row>
      <xdr:rowOff>258162</xdr:rowOff>
    </xdr:to>
    <xdr:pic>
      <xdr:nvPicPr>
        <xdr:cNvPr id="3" name="Imagem 1" descr="GRUPO EQUATORIAL ENERGIA EMAIL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02" y="208790"/>
          <a:ext cx="538763" cy="2398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teste\Downloads\Anexo_I_-_Planilha_de_Servi&#231;os_e_Materiais_com_faturamento_Obra_Ancora_Rev4%2021-01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A PROPOSTA"/>
      <sheetName val="LISTA SERVIÇOS"/>
      <sheetName val="DESCRIÇÃO COMPLETA SERVIÇOS"/>
    </sheetNames>
    <sheetDataSet>
      <sheetData sheetId="0">
        <row r="16">
          <cell r="C16">
            <v>1.4</v>
          </cell>
        </row>
        <row r="17">
          <cell r="C17">
            <v>1.5</v>
          </cell>
        </row>
        <row r="18">
          <cell r="C18">
            <v>1.9</v>
          </cell>
        </row>
        <row r="19">
          <cell r="C19">
            <v>1.9</v>
          </cell>
        </row>
        <row r="20">
          <cell r="C20">
            <v>1.76</v>
          </cell>
        </row>
        <row r="21">
          <cell r="C21">
            <v>1.3</v>
          </cell>
        </row>
        <row r="22">
          <cell r="C22">
            <v>1.6</v>
          </cell>
        </row>
        <row r="23">
          <cell r="C23">
            <v>1.6</v>
          </cell>
        </row>
        <row r="24">
          <cell r="C24">
            <v>1.5</v>
          </cell>
        </row>
        <row r="25">
          <cell r="C25">
            <v>1.55</v>
          </cell>
        </row>
        <row r="26">
          <cell r="C26">
            <v>1.6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7"/>
  <sheetViews>
    <sheetView topLeftCell="A355" workbookViewId="0">
      <selection activeCell="B1021" sqref="B1021"/>
    </sheetView>
  </sheetViews>
  <sheetFormatPr defaultRowHeight="15" x14ac:dyDescent="0.25"/>
  <cols>
    <col min="1" max="1" width="8.7109375" bestFit="1" customWidth="1"/>
    <col min="2" max="2" width="11" bestFit="1" customWidth="1"/>
    <col min="3" max="3" width="44.140625" customWidth="1"/>
    <col min="4" max="4" width="10.7109375" bestFit="1" customWidth="1"/>
    <col min="5" max="5" width="7.140625" bestFit="1" customWidth="1"/>
    <col min="6" max="6" width="13.85546875" bestFit="1" customWidth="1"/>
    <col min="7" max="7" width="17.85546875" bestFit="1" customWidth="1"/>
    <col min="8" max="8" width="15" bestFit="1" customWidth="1"/>
    <col min="9" max="9" width="19.85546875" bestFit="1" customWidth="1"/>
    <col min="10" max="10" width="10.140625" bestFit="1" customWidth="1"/>
  </cols>
  <sheetData>
    <row r="1" spans="1:10" x14ac:dyDescent="0.25">
      <c r="A1" s="1"/>
      <c r="B1" s="2"/>
      <c r="C1" s="2"/>
      <c r="D1" s="2"/>
      <c r="E1" s="3"/>
      <c r="F1" s="4"/>
      <c r="G1" s="2"/>
      <c r="H1" s="2"/>
      <c r="I1" s="2"/>
      <c r="J1" s="2"/>
    </row>
    <row r="2" spans="1:10" ht="21" x14ac:dyDescent="0.25">
      <c r="A2" s="5" t="s">
        <v>0</v>
      </c>
      <c r="B2" s="6"/>
      <c r="C2" s="7"/>
      <c r="D2" s="7"/>
      <c r="E2" s="7"/>
      <c r="F2" s="7"/>
      <c r="G2" s="7"/>
      <c r="H2" s="7"/>
      <c r="I2" s="7"/>
      <c r="J2" s="7" t="s">
        <v>1</v>
      </c>
    </row>
    <row r="3" spans="1:10" x14ac:dyDescent="0.25">
      <c r="A3" s="1"/>
      <c r="B3" s="2"/>
      <c r="C3" s="2"/>
      <c r="D3" s="2"/>
      <c r="E3" s="3"/>
      <c r="F3" s="4"/>
      <c r="G3" s="2"/>
      <c r="H3" s="2"/>
      <c r="I3" s="2"/>
      <c r="J3" s="2"/>
    </row>
    <row r="4" spans="1:10" ht="38.25" x14ac:dyDescent="0.25">
      <c r="A4" s="8" t="s">
        <v>2</v>
      </c>
      <c r="B4" s="8" t="s">
        <v>3</v>
      </c>
      <c r="C4" s="9" t="s">
        <v>4</v>
      </c>
      <c r="D4" s="9" t="s">
        <v>5</v>
      </c>
      <c r="E4" s="9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</row>
    <row r="5" spans="1:10" ht="17.25" x14ac:dyDescent="0.25">
      <c r="A5" s="10" t="s">
        <v>12</v>
      </c>
      <c r="B5" s="11"/>
      <c r="C5" s="12" t="s">
        <v>13</v>
      </c>
      <c r="D5" s="13"/>
      <c r="E5" s="14"/>
      <c r="F5" s="15" t="s">
        <v>14</v>
      </c>
      <c r="G5" s="16">
        <f>SUBTOTAL(9,G6:G1007)</f>
        <v>655458.06000000006</v>
      </c>
      <c r="H5" s="15" t="s">
        <v>14</v>
      </c>
      <c r="I5" s="16">
        <f>SUBTOTAL(9,I6:I1007)</f>
        <v>1114692.44</v>
      </c>
      <c r="J5" s="17"/>
    </row>
    <row r="6" spans="1:10" ht="15.75" x14ac:dyDescent="0.25">
      <c r="A6" s="18" t="s">
        <v>15</v>
      </c>
      <c r="B6" s="19"/>
      <c r="C6" s="20" t="s">
        <v>16</v>
      </c>
      <c r="D6" s="21"/>
      <c r="E6" s="22"/>
      <c r="F6" s="23" t="s">
        <v>17</v>
      </c>
      <c r="G6" s="24">
        <f>SUBTOTAL(9,G7:G80)</f>
        <v>124497.88</v>
      </c>
      <c r="H6" s="25" t="s">
        <v>17</v>
      </c>
      <c r="I6" s="24">
        <f>SUBTOTAL(9,I7:I80)</f>
        <v>106323.68</v>
      </c>
      <c r="J6" s="26"/>
    </row>
    <row r="7" spans="1:10" x14ac:dyDescent="0.25">
      <c r="A7" s="27" t="s">
        <v>18</v>
      </c>
      <c r="B7" s="28">
        <v>5000011080</v>
      </c>
      <c r="C7" s="29" t="s">
        <v>19</v>
      </c>
      <c r="D7" s="30" t="s">
        <v>20</v>
      </c>
      <c r="E7" s="31"/>
      <c r="F7" s="32">
        <v>420.83</v>
      </c>
      <c r="G7" s="33">
        <f t="shared" ref="G7:G70" si="0">ROUND(E7*F7,2)</f>
        <v>0</v>
      </c>
      <c r="H7" s="33">
        <f>ROUND('[1]RESUMO DA PROPOSTA'!$C$16*F7,2)</f>
        <v>589.16</v>
      </c>
      <c r="I7" s="33">
        <f t="shared" ref="I7:I70" si="1">ROUND(E7*H7,2)</f>
        <v>0</v>
      </c>
      <c r="J7" s="34"/>
    </row>
    <row r="8" spans="1:10" x14ac:dyDescent="0.25">
      <c r="A8" s="27" t="s">
        <v>21</v>
      </c>
      <c r="B8" s="28">
        <v>5000011081</v>
      </c>
      <c r="C8" s="29" t="s">
        <v>22</v>
      </c>
      <c r="D8" s="30" t="s">
        <v>20</v>
      </c>
      <c r="E8" s="31"/>
      <c r="F8" s="32">
        <v>459.8</v>
      </c>
      <c r="G8" s="33">
        <f t="shared" si="0"/>
        <v>0</v>
      </c>
      <c r="H8" s="33">
        <f>ROUND('[1]RESUMO DA PROPOSTA'!$C$16*F8,2)</f>
        <v>643.72</v>
      </c>
      <c r="I8" s="33">
        <f t="shared" si="1"/>
        <v>0</v>
      </c>
      <c r="J8" s="34"/>
    </row>
    <row r="9" spans="1:10" x14ac:dyDescent="0.25">
      <c r="A9" s="27" t="s">
        <v>23</v>
      </c>
      <c r="B9" s="28">
        <v>5000011082</v>
      </c>
      <c r="C9" s="29" t="s">
        <v>24</v>
      </c>
      <c r="D9" s="30" t="s">
        <v>20</v>
      </c>
      <c r="E9" s="31"/>
      <c r="F9" s="32">
        <v>148.13</v>
      </c>
      <c r="G9" s="33">
        <f t="shared" si="0"/>
        <v>0</v>
      </c>
      <c r="H9" s="33">
        <f>ROUND('[1]RESUMO DA PROPOSTA'!$C$16*F9,2)</f>
        <v>207.38</v>
      </c>
      <c r="I9" s="33">
        <f t="shared" si="1"/>
        <v>0</v>
      </c>
      <c r="J9" s="34"/>
    </row>
    <row r="10" spans="1:10" x14ac:dyDescent="0.25">
      <c r="A10" s="27" t="s">
        <v>25</v>
      </c>
      <c r="B10" s="28">
        <v>5000011083</v>
      </c>
      <c r="C10" s="29" t="s">
        <v>26</v>
      </c>
      <c r="D10" s="30" t="s">
        <v>20</v>
      </c>
      <c r="E10" s="31"/>
      <c r="F10" s="32">
        <v>262.58999999999997</v>
      </c>
      <c r="G10" s="33">
        <f t="shared" si="0"/>
        <v>0</v>
      </c>
      <c r="H10" s="33">
        <f>ROUND('[1]RESUMO DA PROPOSTA'!$C$16*F10,2)</f>
        <v>367.63</v>
      </c>
      <c r="I10" s="33">
        <f t="shared" si="1"/>
        <v>0</v>
      </c>
      <c r="J10" s="34"/>
    </row>
    <row r="11" spans="1:10" x14ac:dyDescent="0.25">
      <c r="A11" s="27" t="s">
        <v>27</v>
      </c>
      <c r="B11" s="28">
        <v>5000011084</v>
      </c>
      <c r="C11" s="29" t="s">
        <v>28</v>
      </c>
      <c r="D11" s="35" t="s">
        <v>29</v>
      </c>
      <c r="E11" s="31"/>
      <c r="F11" s="32">
        <v>92.58</v>
      </c>
      <c r="G11" s="33">
        <f t="shared" si="0"/>
        <v>0</v>
      </c>
      <c r="H11" s="33">
        <f>ROUND('[1]RESUMO DA PROPOSTA'!$C$16*F11,2)</f>
        <v>129.61000000000001</v>
      </c>
      <c r="I11" s="33">
        <f t="shared" si="1"/>
        <v>0</v>
      </c>
      <c r="J11" s="34"/>
    </row>
    <row r="12" spans="1:10" x14ac:dyDescent="0.25">
      <c r="A12" s="27" t="s">
        <v>30</v>
      </c>
      <c r="B12" s="28">
        <v>5000011085</v>
      </c>
      <c r="C12" s="29" t="s">
        <v>31</v>
      </c>
      <c r="D12" s="35" t="s">
        <v>29</v>
      </c>
      <c r="E12" s="31"/>
      <c r="F12" s="32">
        <v>117.83</v>
      </c>
      <c r="G12" s="33">
        <f t="shared" si="0"/>
        <v>0</v>
      </c>
      <c r="H12" s="33">
        <f>ROUND('[1]RESUMO DA PROPOSTA'!$C$16*F12,2)</f>
        <v>164.96</v>
      </c>
      <c r="I12" s="33">
        <f t="shared" si="1"/>
        <v>0</v>
      </c>
      <c r="J12" s="34"/>
    </row>
    <row r="13" spans="1:10" x14ac:dyDescent="0.25">
      <c r="A13" s="27" t="s">
        <v>32</v>
      </c>
      <c r="B13" s="28">
        <v>5000011086</v>
      </c>
      <c r="C13" s="29" t="s">
        <v>33</v>
      </c>
      <c r="D13" s="35" t="s">
        <v>29</v>
      </c>
      <c r="E13" s="31"/>
      <c r="F13" s="32">
        <v>143.09</v>
      </c>
      <c r="G13" s="33">
        <f t="shared" si="0"/>
        <v>0</v>
      </c>
      <c r="H13" s="33">
        <f>ROUND('[1]RESUMO DA PROPOSTA'!$C$16*F13,2)</f>
        <v>200.33</v>
      </c>
      <c r="I13" s="33">
        <f t="shared" si="1"/>
        <v>0</v>
      </c>
      <c r="J13" s="34"/>
    </row>
    <row r="14" spans="1:10" x14ac:dyDescent="0.25">
      <c r="A14" s="27" t="s">
        <v>34</v>
      </c>
      <c r="B14" s="28">
        <v>5000011087</v>
      </c>
      <c r="C14" s="29" t="s">
        <v>35</v>
      </c>
      <c r="D14" s="35" t="s">
        <v>29</v>
      </c>
      <c r="E14" s="31"/>
      <c r="F14" s="32">
        <v>13.47</v>
      </c>
      <c r="G14" s="33">
        <f t="shared" si="0"/>
        <v>0</v>
      </c>
      <c r="H14" s="33">
        <f>ROUND('[1]RESUMO DA PROPOSTA'!$C$16*F14,2)</f>
        <v>18.86</v>
      </c>
      <c r="I14" s="33">
        <f t="shared" si="1"/>
        <v>0</v>
      </c>
      <c r="J14" s="34"/>
    </row>
    <row r="15" spans="1:10" x14ac:dyDescent="0.25">
      <c r="A15" s="27" t="s">
        <v>36</v>
      </c>
      <c r="B15" s="28">
        <v>5000011088</v>
      </c>
      <c r="C15" s="29" t="s">
        <v>37</v>
      </c>
      <c r="D15" s="35" t="s">
        <v>29</v>
      </c>
      <c r="E15" s="31"/>
      <c r="F15" s="32">
        <v>201.99</v>
      </c>
      <c r="G15" s="33">
        <f t="shared" si="0"/>
        <v>0</v>
      </c>
      <c r="H15" s="33">
        <f>ROUND('[1]RESUMO DA PROPOSTA'!$C$16*F15,2)</f>
        <v>282.79000000000002</v>
      </c>
      <c r="I15" s="33">
        <f t="shared" si="1"/>
        <v>0</v>
      </c>
      <c r="J15" s="34"/>
    </row>
    <row r="16" spans="1:10" x14ac:dyDescent="0.25">
      <c r="A16" s="27" t="s">
        <v>38</v>
      </c>
      <c r="B16" s="28">
        <v>5000011089</v>
      </c>
      <c r="C16" s="29" t="s">
        <v>39</v>
      </c>
      <c r="D16" s="35" t="s">
        <v>29</v>
      </c>
      <c r="E16" s="31"/>
      <c r="F16" s="32">
        <v>201.99</v>
      </c>
      <c r="G16" s="33">
        <f t="shared" si="0"/>
        <v>0</v>
      </c>
      <c r="H16" s="33">
        <f>ROUND('[1]RESUMO DA PROPOSTA'!$C$16*F16,2)</f>
        <v>282.79000000000002</v>
      </c>
      <c r="I16" s="33">
        <f t="shared" si="1"/>
        <v>0</v>
      </c>
      <c r="J16" s="34"/>
    </row>
    <row r="17" spans="1:10" x14ac:dyDescent="0.25">
      <c r="A17" s="27" t="s">
        <v>40</v>
      </c>
      <c r="B17" s="28">
        <v>5000011090</v>
      </c>
      <c r="C17" s="29" t="s">
        <v>41</v>
      </c>
      <c r="D17" s="35" t="s">
        <v>29</v>
      </c>
      <c r="E17" s="31"/>
      <c r="F17" s="32">
        <v>215.46</v>
      </c>
      <c r="G17" s="33">
        <f t="shared" si="0"/>
        <v>0</v>
      </c>
      <c r="H17" s="33">
        <f>ROUND('[1]RESUMO DA PROPOSTA'!$C$16*F17,2)</f>
        <v>301.64</v>
      </c>
      <c r="I17" s="33">
        <f t="shared" si="1"/>
        <v>0</v>
      </c>
      <c r="J17" s="34"/>
    </row>
    <row r="18" spans="1:10" x14ac:dyDescent="0.25">
      <c r="A18" s="27" t="s">
        <v>42</v>
      </c>
      <c r="B18" s="28">
        <v>5000011091</v>
      </c>
      <c r="C18" s="29" t="s">
        <v>43</v>
      </c>
      <c r="D18" s="35" t="s">
        <v>29</v>
      </c>
      <c r="E18" s="31"/>
      <c r="F18" s="32">
        <v>1851.63</v>
      </c>
      <c r="G18" s="33">
        <f t="shared" si="0"/>
        <v>0</v>
      </c>
      <c r="H18" s="33">
        <f>ROUND('[1]RESUMO DA PROPOSTA'!$C$16*F18,2)</f>
        <v>2592.2800000000002</v>
      </c>
      <c r="I18" s="33">
        <f t="shared" si="1"/>
        <v>0</v>
      </c>
      <c r="J18" s="34"/>
    </row>
    <row r="19" spans="1:10" x14ac:dyDescent="0.25">
      <c r="A19" s="27" t="s">
        <v>44</v>
      </c>
      <c r="B19" s="28">
        <v>5000011092</v>
      </c>
      <c r="C19" s="29" t="s">
        <v>45</v>
      </c>
      <c r="D19" s="35" t="s">
        <v>29</v>
      </c>
      <c r="E19" s="31"/>
      <c r="F19" s="32">
        <v>13466.4</v>
      </c>
      <c r="G19" s="33">
        <f t="shared" si="0"/>
        <v>0</v>
      </c>
      <c r="H19" s="33">
        <f>ROUND('[1]RESUMO DA PROPOSTA'!$C$16*F19,2)</f>
        <v>18852.96</v>
      </c>
      <c r="I19" s="33">
        <f t="shared" si="1"/>
        <v>0</v>
      </c>
      <c r="J19" s="34"/>
    </row>
    <row r="20" spans="1:10" x14ac:dyDescent="0.25">
      <c r="A20" s="27" t="s">
        <v>46</v>
      </c>
      <c r="B20" s="28">
        <v>5000011093</v>
      </c>
      <c r="C20" s="29" t="s">
        <v>47</v>
      </c>
      <c r="D20" s="35" t="s">
        <v>29</v>
      </c>
      <c r="E20" s="31"/>
      <c r="F20" s="32">
        <v>8416.5</v>
      </c>
      <c r="G20" s="33">
        <f t="shared" si="0"/>
        <v>0</v>
      </c>
      <c r="H20" s="33">
        <f>ROUND('[1]RESUMO DA PROPOSTA'!$C$16*F20,2)</f>
        <v>11783.1</v>
      </c>
      <c r="I20" s="33">
        <f t="shared" si="1"/>
        <v>0</v>
      </c>
      <c r="J20" s="34"/>
    </row>
    <row r="21" spans="1:10" x14ac:dyDescent="0.25">
      <c r="A21" s="27" t="s">
        <v>48</v>
      </c>
      <c r="B21" s="28">
        <v>5000011094</v>
      </c>
      <c r="C21" s="29" t="s">
        <v>49</v>
      </c>
      <c r="D21" s="35" t="s">
        <v>29</v>
      </c>
      <c r="E21" s="31"/>
      <c r="F21" s="32">
        <v>8164.01</v>
      </c>
      <c r="G21" s="33">
        <f t="shared" si="0"/>
        <v>0</v>
      </c>
      <c r="H21" s="33">
        <f>ROUND('[1]RESUMO DA PROPOSTA'!$C$16*F21,2)</f>
        <v>11429.61</v>
      </c>
      <c r="I21" s="33">
        <f t="shared" si="1"/>
        <v>0</v>
      </c>
      <c r="J21" s="34"/>
    </row>
    <row r="22" spans="1:10" x14ac:dyDescent="0.25">
      <c r="A22" s="27" t="s">
        <v>50</v>
      </c>
      <c r="B22" s="28">
        <v>5000011095</v>
      </c>
      <c r="C22" s="29" t="s">
        <v>51</v>
      </c>
      <c r="D22" s="35" t="s">
        <v>29</v>
      </c>
      <c r="E22" s="31"/>
      <c r="F22" s="32">
        <v>3198.27</v>
      </c>
      <c r="G22" s="33">
        <f t="shared" si="0"/>
        <v>0</v>
      </c>
      <c r="H22" s="33">
        <f>ROUND('[1]RESUMO DA PROPOSTA'!$C$16*F22,2)</f>
        <v>4477.58</v>
      </c>
      <c r="I22" s="33">
        <f t="shared" si="1"/>
        <v>0</v>
      </c>
      <c r="J22" s="34"/>
    </row>
    <row r="23" spans="1:10" x14ac:dyDescent="0.25">
      <c r="A23" s="27" t="s">
        <v>52</v>
      </c>
      <c r="B23" s="28">
        <v>5000011096</v>
      </c>
      <c r="C23" s="29" t="s">
        <v>53</v>
      </c>
      <c r="D23" s="35" t="s">
        <v>29</v>
      </c>
      <c r="E23" s="31"/>
      <c r="F23" s="32">
        <v>3198.27</v>
      </c>
      <c r="G23" s="33">
        <f t="shared" si="0"/>
        <v>0</v>
      </c>
      <c r="H23" s="33">
        <f>ROUND('[1]RESUMO DA PROPOSTA'!$C$16*F23,2)</f>
        <v>4477.58</v>
      </c>
      <c r="I23" s="33">
        <f t="shared" si="1"/>
        <v>0</v>
      </c>
      <c r="J23" s="34"/>
    </row>
    <row r="24" spans="1:10" x14ac:dyDescent="0.25">
      <c r="A24" s="27" t="s">
        <v>54</v>
      </c>
      <c r="B24" s="28">
        <v>5000011097</v>
      </c>
      <c r="C24" s="29" t="s">
        <v>55</v>
      </c>
      <c r="D24" s="35" t="s">
        <v>29</v>
      </c>
      <c r="E24" s="31"/>
      <c r="F24" s="32">
        <v>134.66999999999999</v>
      </c>
      <c r="G24" s="33">
        <f t="shared" si="0"/>
        <v>0</v>
      </c>
      <c r="H24" s="33">
        <f>ROUND('[1]RESUMO DA PROPOSTA'!$C$16*F24,2)</f>
        <v>188.54</v>
      </c>
      <c r="I24" s="33">
        <f t="shared" si="1"/>
        <v>0</v>
      </c>
      <c r="J24" s="34"/>
    </row>
    <row r="25" spans="1:10" x14ac:dyDescent="0.25">
      <c r="A25" s="27" t="s">
        <v>56</v>
      </c>
      <c r="B25" s="28">
        <v>5000011098</v>
      </c>
      <c r="C25" s="29" t="s">
        <v>57</v>
      </c>
      <c r="D25" s="35" t="s">
        <v>29</v>
      </c>
      <c r="E25" s="31"/>
      <c r="F25" s="32">
        <v>210.42</v>
      </c>
      <c r="G25" s="33">
        <f t="shared" si="0"/>
        <v>0</v>
      </c>
      <c r="H25" s="33">
        <f>ROUND('[1]RESUMO DA PROPOSTA'!$C$16*F25,2)</f>
        <v>294.58999999999997</v>
      </c>
      <c r="I25" s="33">
        <f t="shared" si="1"/>
        <v>0</v>
      </c>
      <c r="J25" s="34"/>
    </row>
    <row r="26" spans="1:10" x14ac:dyDescent="0.25">
      <c r="A26" s="27" t="s">
        <v>58</v>
      </c>
      <c r="B26" s="28">
        <v>5000011099</v>
      </c>
      <c r="C26" s="29" t="s">
        <v>59</v>
      </c>
      <c r="D26" s="35" t="s">
        <v>29</v>
      </c>
      <c r="E26" s="31"/>
      <c r="F26" s="32">
        <v>2019.96</v>
      </c>
      <c r="G26" s="33">
        <f t="shared" si="0"/>
        <v>0</v>
      </c>
      <c r="H26" s="33">
        <f>ROUND('[1]RESUMO DA PROPOSTA'!$C$16*F26,2)</f>
        <v>2827.94</v>
      </c>
      <c r="I26" s="33">
        <f t="shared" si="1"/>
        <v>0</v>
      </c>
      <c r="J26" s="34"/>
    </row>
    <row r="27" spans="1:10" x14ac:dyDescent="0.25">
      <c r="A27" s="27" t="s">
        <v>60</v>
      </c>
      <c r="B27" s="28">
        <v>5000011100</v>
      </c>
      <c r="C27" s="29" t="s">
        <v>61</v>
      </c>
      <c r="D27" s="35" t="s">
        <v>29</v>
      </c>
      <c r="E27" s="31"/>
      <c r="F27" s="32">
        <v>2524.9499999999998</v>
      </c>
      <c r="G27" s="33">
        <f t="shared" si="0"/>
        <v>0</v>
      </c>
      <c r="H27" s="33">
        <f>ROUND('[1]RESUMO DA PROPOSTA'!$C$16*F27,2)</f>
        <v>3534.93</v>
      </c>
      <c r="I27" s="33">
        <f t="shared" si="1"/>
        <v>0</v>
      </c>
      <c r="J27" s="34"/>
    </row>
    <row r="28" spans="1:10" x14ac:dyDescent="0.25">
      <c r="A28" s="27" t="s">
        <v>62</v>
      </c>
      <c r="B28" s="28">
        <v>5000011101</v>
      </c>
      <c r="C28" s="29" t="s">
        <v>63</v>
      </c>
      <c r="D28" s="35" t="s">
        <v>29</v>
      </c>
      <c r="E28" s="31"/>
      <c r="F28" s="32">
        <v>1851.63</v>
      </c>
      <c r="G28" s="33">
        <f t="shared" si="0"/>
        <v>0</v>
      </c>
      <c r="H28" s="33">
        <f>ROUND('[1]RESUMO DA PROPOSTA'!$C$16*F28,2)</f>
        <v>2592.2800000000002</v>
      </c>
      <c r="I28" s="33">
        <f t="shared" si="1"/>
        <v>0</v>
      </c>
      <c r="J28" s="34"/>
    </row>
    <row r="29" spans="1:10" x14ac:dyDescent="0.25">
      <c r="A29" s="27" t="s">
        <v>64</v>
      </c>
      <c r="B29" s="28">
        <v>5000011102</v>
      </c>
      <c r="C29" s="29" t="s">
        <v>65</v>
      </c>
      <c r="D29" s="35" t="s">
        <v>29</v>
      </c>
      <c r="E29" s="31"/>
      <c r="F29" s="32">
        <v>2945.78</v>
      </c>
      <c r="G29" s="33">
        <f t="shared" si="0"/>
        <v>0</v>
      </c>
      <c r="H29" s="33">
        <f>ROUND('[1]RESUMO DA PROPOSTA'!$C$16*F29,2)</f>
        <v>4124.09</v>
      </c>
      <c r="I29" s="33">
        <f t="shared" si="1"/>
        <v>0</v>
      </c>
      <c r="J29" s="34"/>
    </row>
    <row r="30" spans="1:10" x14ac:dyDescent="0.25">
      <c r="A30" s="27" t="s">
        <v>66</v>
      </c>
      <c r="B30" s="28">
        <v>5000011103</v>
      </c>
      <c r="C30" s="29" t="s">
        <v>67</v>
      </c>
      <c r="D30" s="35" t="s">
        <v>29</v>
      </c>
      <c r="E30" s="31"/>
      <c r="F30" s="32">
        <v>841.65</v>
      </c>
      <c r="G30" s="33">
        <f t="shared" si="0"/>
        <v>0</v>
      </c>
      <c r="H30" s="33">
        <f>ROUND('[1]RESUMO DA PROPOSTA'!$C$16*F30,2)</f>
        <v>1178.31</v>
      </c>
      <c r="I30" s="33">
        <f t="shared" si="1"/>
        <v>0</v>
      </c>
      <c r="J30" s="34"/>
    </row>
    <row r="31" spans="1:10" x14ac:dyDescent="0.25">
      <c r="A31" s="27" t="s">
        <v>68</v>
      </c>
      <c r="B31" s="28">
        <v>5000011104</v>
      </c>
      <c r="C31" s="29" t="s">
        <v>69</v>
      </c>
      <c r="D31" s="35" t="s">
        <v>29</v>
      </c>
      <c r="E31" s="31"/>
      <c r="F31" s="32">
        <v>925.82</v>
      </c>
      <c r="G31" s="33">
        <f t="shared" si="0"/>
        <v>0</v>
      </c>
      <c r="H31" s="33">
        <f>ROUND('[1]RESUMO DA PROPOSTA'!$C$16*F31,2)</f>
        <v>1296.1500000000001</v>
      </c>
      <c r="I31" s="33">
        <f t="shared" si="1"/>
        <v>0</v>
      </c>
      <c r="J31" s="34"/>
    </row>
    <row r="32" spans="1:10" x14ac:dyDescent="0.25">
      <c r="A32" s="27" t="s">
        <v>70</v>
      </c>
      <c r="B32" s="28">
        <v>5000011105</v>
      </c>
      <c r="C32" s="29" t="s">
        <v>71</v>
      </c>
      <c r="D32" s="35" t="s">
        <v>29</v>
      </c>
      <c r="E32" s="31"/>
      <c r="F32" s="32">
        <v>841.65</v>
      </c>
      <c r="G32" s="33">
        <f t="shared" si="0"/>
        <v>0</v>
      </c>
      <c r="H32" s="33">
        <f>ROUND('[1]RESUMO DA PROPOSTA'!$C$16*F32,2)</f>
        <v>1178.31</v>
      </c>
      <c r="I32" s="33">
        <f t="shared" si="1"/>
        <v>0</v>
      </c>
      <c r="J32" s="34"/>
    </row>
    <row r="33" spans="1:10" x14ac:dyDescent="0.25">
      <c r="A33" s="27" t="s">
        <v>72</v>
      </c>
      <c r="B33" s="28">
        <v>5000011106</v>
      </c>
      <c r="C33" s="29" t="s">
        <v>73</v>
      </c>
      <c r="D33" s="35" t="s">
        <v>29</v>
      </c>
      <c r="E33" s="31"/>
      <c r="F33" s="32">
        <v>1514.97</v>
      </c>
      <c r="G33" s="33">
        <f t="shared" si="0"/>
        <v>0</v>
      </c>
      <c r="H33" s="33">
        <f>ROUND('[1]RESUMO DA PROPOSTA'!$C$16*F33,2)</f>
        <v>2120.96</v>
      </c>
      <c r="I33" s="33">
        <f t="shared" si="1"/>
        <v>0</v>
      </c>
      <c r="J33" s="34"/>
    </row>
    <row r="34" spans="1:10" x14ac:dyDescent="0.25">
      <c r="A34" s="27" t="s">
        <v>74</v>
      </c>
      <c r="B34" s="28">
        <v>5000011107</v>
      </c>
      <c r="C34" s="29" t="s">
        <v>75</v>
      </c>
      <c r="D34" s="35" t="s">
        <v>29</v>
      </c>
      <c r="E34" s="31"/>
      <c r="F34" s="32">
        <v>1178.31</v>
      </c>
      <c r="G34" s="33">
        <f t="shared" si="0"/>
        <v>0</v>
      </c>
      <c r="H34" s="33">
        <f>ROUND('[1]RESUMO DA PROPOSTA'!$C$16*F34,2)</f>
        <v>1649.63</v>
      </c>
      <c r="I34" s="33">
        <f t="shared" si="1"/>
        <v>0</v>
      </c>
      <c r="J34" s="34"/>
    </row>
    <row r="35" spans="1:10" x14ac:dyDescent="0.25">
      <c r="A35" s="27" t="s">
        <v>76</v>
      </c>
      <c r="B35" s="28">
        <v>5000011108</v>
      </c>
      <c r="C35" s="29" t="s">
        <v>77</v>
      </c>
      <c r="D35" s="35" t="s">
        <v>29</v>
      </c>
      <c r="E35" s="31"/>
      <c r="F35" s="32">
        <v>8164.01</v>
      </c>
      <c r="G35" s="33">
        <f t="shared" si="0"/>
        <v>0</v>
      </c>
      <c r="H35" s="33">
        <f>ROUND('[1]RESUMO DA PROPOSTA'!$C$16*F35,2)</f>
        <v>11429.61</v>
      </c>
      <c r="I35" s="33">
        <f t="shared" si="1"/>
        <v>0</v>
      </c>
      <c r="J35" s="34"/>
    </row>
    <row r="36" spans="1:10" x14ac:dyDescent="0.25">
      <c r="A36" s="27" t="s">
        <v>78</v>
      </c>
      <c r="B36" s="28">
        <v>5000011109</v>
      </c>
      <c r="C36" s="29" t="s">
        <v>79</v>
      </c>
      <c r="D36" s="35" t="s">
        <v>29</v>
      </c>
      <c r="E36" s="31"/>
      <c r="F36" s="32">
        <v>8416.5</v>
      </c>
      <c r="G36" s="33">
        <f t="shared" si="0"/>
        <v>0</v>
      </c>
      <c r="H36" s="33">
        <f>ROUND('[1]RESUMO DA PROPOSTA'!$C$16*F36,2)</f>
        <v>11783.1</v>
      </c>
      <c r="I36" s="33">
        <f t="shared" si="1"/>
        <v>0</v>
      </c>
      <c r="J36" s="34"/>
    </row>
    <row r="37" spans="1:10" x14ac:dyDescent="0.25">
      <c r="A37" s="27" t="s">
        <v>80</v>
      </c>
      <c r="B37" s="28">
        <v>5000011110</v>
      </c>
      <c r="C37" s="29" t="s">
        <v>81</v>
      </c>
      <c r="D37" s="35" t="s">
        <v>29</v>
      </c>
      <c r="E37" s="31"/>
      <c r="F37" s="32">
        <v>3366.6</v>
      </c>
      <c r="G37" s="33">
        <f t="shared" si="0"/>
        <v>0</v>
      </c>
      <c r="H37" s="33">
        <f>ROUND('[1]RESUMO DA PROPOSTA'!$C$16*F37,2)</f>
        <v>4713.24</v>
      </c>
      <c r="I37" s="33">
        <f t="shared" si="1"/>
        <v>0</v>
      </c>
      <c r="J37" s="34"/>
    </row>
    <row r="38" spans="1:10" x14ac:dyDescent="0.25">
      <c r="A38" s="27" t="s">
        <v>82</v>
      </c>
      <c r="B38" s="28">
        <v>5000011111</v>
      </c>
      <c r="C38" s="29" t="s">
        <v>83</v>
      </c>
      <c r="D38" s="35" t="s">
        <v>29</v>
      </c>
      <c r="E38" s="31"/>
      <c r="F38" s="32">
        <v>2524.9499999999998</v>
      </c>
      <c r="G38" s="33">
        <f t="shared" si="0"/>
        <v>0</v>
      </c>
      <c r="H38" s="33">
        <f>ROUND('[1]RESUMO DA PROPOSTA'!$C$16*F38,2)</f>
        <v>3534.93</v>
      </c>
      <c r="I38" s="33">
        <f t="shared" si="1"/>
        <v>0</v>
      </c>
      <c r="J38" s="34"/>
    </row>
    <row r="39" spans="1:10" x14ac:dyDescent="0.25">
      <c r="A39" s="27" t="s">
        <v>84</v>
      </c>
      <c r="B39" s="28">
        <v>5000011112</v>
      </c>
      <c r="C39" s="29" t="s">
        <v>85</v>
      </c>
      <c r="D39" s="35" t="s">
        <v>29</v>
      </c>
      <c r="E39" s="31"/>
      <c r="F39" s="32">
        <v>841.65</v>
      </c>
      <c r="G39" s="33">
        <f t="shared" si="0"/>
        <v>0</v>
      </c>
      <c r="H39" s="33">
        <f>ROUND('[1]RESUMO DA PROPOSTA'!$C$16*F39,2)</f>
        <v>1178.31</v>
      </c>
      <c r="I39" s="33">
        <f t="shared" si="1"/>
        <v>0</v>
      </c>
      <c r="J39" s="34"/>
    </row>
    <row r="40" spans="1:10" x14ac:dyDescent="0.25">
      <c r="A40" s="27" t="s">
        <v>86</v>
      </c>
      <c r="B40" s="28">
        <v>5000011113</v>
      </c>
      <c r="C40" s="29" t="s">
        <v>87</v>
      </c>
      <c r="D40" s="35" t="s">
        <v>29</v>
      </c>
      <c r="E40" s="31"/>
      <c r="F40" s="32">
        <v>1851.63</v>
      </c>
      <c r="G40" s="33">
        <f t="shared" si="0"/>
        <v>0</v>
      </c>
      <c r="H40" s="33">
        <f>ROUND('[1]RESUMO DA PROPOSTA'!$C$16*F40,2)</f>
        <v>2592.2800000000002</v>
      </c>
      <c r="I40" s="33">
        <f t="shared" si="1"/>
        <v>0</v>
      </c>
      <c r="J40" s="34"/>
    </row>
    <row r="41" spans="1:10" x14ac:dyDescent="0.25">
      <c r="A41" s="27" t="s">
        <v>88</v>
      </c>
      <c r="B41" s="28">
        <v>5000011114</v>
      </c>
      <c r="C41" s="29" t="s">
        <v>89</v>
      </c>
      <c r="D41" s="35" t="s">
        <v>29</v>
      </c>
      <c r="E41" s="31"/>
      <c r="F41" s="32">
        <v>942.65</v>
      </c>
      <c r="G41" s="33">
        <f t="shared" si="0"/>
        <v>0</v>
      </c>
      <c r="H41" s="33">
        <f>ROUND('[1]RESUMO DA PROPOSTA'!$C$16*F41,2)</f>
        <v>1319.71</v>
      </c>
      <c r="I41" s="33">
        <f t="shared" si="1"/>
        <v>0</v>
      </c>
      <c r="J41" s="34"/>
    </row>
    <row r="42" spans="1:10" x14ac:dyDescent="0.25">
      <c r="A42" s="27" t="s">
        <v>90</v>
      </c>
      <c r="B42" s="28">
        <v>5000011115</v>
      </c>
      <c r="C42" s="29" t="s">
        <v>91</v>
      </c>
      <c r="D42" s="30" t="s">
        <v>20</v>
      </c>
      <c r="E42" s="31"/>
      <c r="F42" s="32">
        <v>13.1</v>
      </c>
      <c r="G42" s="33">
        <f t="shared" si="0"/>
        <v>0</v>
      </c>
      <c r="H42" s="33">
        <f>ROUND('[1]RESUMO DA PROPOSTA'!$C$16*F42,2)</f>
        <v>18.34</v>
      </c>
      <c r="I42" s="33">
        <f t="shared" si="1"/>
        <v>0</v>
      </c>
      <c r="J42" s="34"/>
    </row>
    <row r="43" spans="1:10" x14ac:dyDescent="0.25">
      <c r="A43" s="27" t="s">
        <v>92</v>
      </c>
      <c r="B43" s="28">
        <v>5000011116</v>
      </c>
      <c r="C43" s="29" t="s">
        <v>93</v>
      </c>
      <c r="D43" s="30" t="s">
        <v>20</v>
      </c>
      <c r="E43" s="31"/>
      <c r="F43" s="32">
        <v>11.08</v>
      </c>
      <c r="G43" s="33">
        <f t="shared" si="0"/>
        <v>0</v>
      </c>
      <c r="H43" s="33">
        <f>ROUND('[1]RESUMO DA PROPOSTA'!$C$16*F43,2)</f>
        <v>15.51</v>
      </c>
      <c r="I43" s="33">
        <f t="shared" si="1"/>
        <v>0</v>
      </c>
      <c r="J43" s="34"/>
    </row>
    <row r="44" spans="1:10" x14ac:dyDescent="0.25">
      <c r="A44" s="27" t="s">
        <v>94</v>
      </c>
      <c r="B44" s="28">
        <v>5000011118</v>
      </c>
      <c r="C44" s="36" t="s">
        <v>95</v>
      </c>
      <c r="D44" s="30" t="s">
        <v>96</v>
      </c>
      <c r="E44" s="31"/>
      <c r="F44" s="32">
        <v>1751.96</v>
      </c>
      <c r="G44" s="33">
        <f t="shared" si="0"/>
        <v>0</v>
      </c>
      <c r="H44" s="33">
        <f>ROUND('[1]RESUMO DA PROPOSTA'!$C$16*F44,2)</f>
        <v>2452.7399999999998</v>
      </c>
      <c r="I44" s="33">
        <f t="shared" si="1"/>
        <v>0</v>
      </c>
      <c r="J44" s="34"/>
    </row>
    <row r="45" spans="1:10" x14ac:dyDescent="0.25">
      <c r="A45" s="27" t="s">
        <v>97</v>
      </c>
      <c r="B45" s="28">
        <v>5000011119</v>
      </c>
      <c r="C45" s="36" t="s">
        <v>98</v>
      </c>
      <c r="D45" s="30" t="s">
        <v>96</v>
      </c>
      <c r="E45" s="31"/>
      <c r="F45" s="32">
        <v>8110.88</v>
      </c>
      <c r="G45" s="33">
        <f t="shared" si="0"/>
        <v>0</v>
      </c>
      <c r="H45" s="33">
        <f>ROUND('[1]RESUMO DA PROPOSTA'!$C$16*F45,2)</f>
        <v>11355.23</v>
      </c>
      <c r="I45" s="33">
        <f t="shared" si="1"/>
        <v>0</v>
      </c>
      <c r="J45" s="34"/>
    </row>
    <row r="46" spans="1:10" x14ac:dyDescent="0.25">
      <c r="A46" s="27" t="s">
        <v>99</v>
      </c>
      <c r="B46" s="28">
        <v>5000011120</v>
      </c>
      <c r="C46" s="36" t="s">
        <v>100</v>
      </c>
      <c r="D46" s="30" t="s">
        <v>96</v>
      </c>
      <c r="E46" s="31"/>
      <c r="F46" s="32">
        <v>4161.88</v>
      </c>
      <c r="G46" s="33">
        <f t="shared" si="0"/>
        <v>0</v>
      </c>
      <c r="H46" s="33">
        <f>ROUND('[1]RESUMO DA PROPOSTA'!$C$16*F46,2)</f>
        <v>5826.63</v>
      </c>
      <c r="I46" s="33">
        <f t="shared" si="1"/>
        <v>0</v>
      </c>
      <c r="J46" s="34"/>
    </row>
    <row r="47" spans="1:10" x14ac:dyDescent="0.25">
      <c r="A47" s="27" t="s">
        <v>101</v>
      </c>
      <c r="B47" s="28">
        <v>5000011121</v>
      </c>
      <c r="C47" s="36" t="s">
        <v>102</v>
      </c>
      <c r="D47" s="30" t="s">
        <v>96</v>
      </c>
      <c r="E47" s="31"/>
      <c r="F47" s="32">
        <v>2134.16</v>
      </c>
      <c r="G47" s="33">
        <f t="shared" si="0"/>
        <v>0</v>
      </c>
      <c r="H47" s="33">
        <f>ROUND('[1]RESUMO DA PROPOSTA'!$C$16*F47,2)</f>
        <v>2987.82</v>
      </c>
      <c r="I47" s="33">
        <f t="shared" si="1"/>
        <v>0</v>
      </c>
      <c r="J47" s="34"/>
    </row>
    <row r="48" spans="1:10" x14ac:dyDescent="0.25">
      <c r="A48" s="27" t="s">
        <v>103</v>
      </c>
      <c r="B48" s="28">
        <v>5000011122</v>
      </c>
      <c r="C48" s="37" t="s">
        <v>104</v>
      </c>
      <c r="D48" s="30" t="s">
        <v>96</v>
      </c>
      <c r="E48" s="31"/>
      <c r="F48" s="32">
        <v>5961.81</v>
      </c>
      <c r="G48" s="33">
        <f t="shared" si="0"/>
        <v>0</v>
      </c>
      <c r="H48" s="33">
        <f>ROUND('[1]RESUMO DA PROPOSTA'!$C$16*F48,2)</f>
        <v>8346.5300000000007</v>
      </c>
      <c r="I48" s="33">
        <f t="shared" si="1"/>
        <v>0</v>
      </c>
      <c r="J48" s="34"/>
    </row>
    <row r="49" spans="1:10" x14ac:dyDescent="0.25">
      <c r="A49" s="27" t="s">
        <v>105</v>
      </c>
      <c r="B49" s="28">
        <v>5000011123</v>
      </c>
      <c r="C49" s="37" t="s">
        <v>106</v>
      </c>
      <c r="D49" s="30" t="s">
        <v>96</v>
      </c>
      <c r="E49" s="31">
        <v>1</v>
      </c>
      <c r="F49" s="32">
        <v>20295.38</v>
      </c>
      <c r="G49" s="33">
        <f t="shared" si="0"/>
        <v>20295.38</v>
      </c>
      <c r="H49" s="33">
        <f>ROUND('[1]RESUMO DA PROPOSTA'!$C$16*F49,2)</f>
        <v>28413.53</v>
      </c>
      <c r="I49" s="33">
        <f t="shared" si="1"/>
        <v>28413.53</v>
      </c>
      <c r="J49" s="34"/>
    </row>
    <row r="50" spans="1:10" x14ac:dyDescent="0.25">
      <c r="A50" s="27" t="s">
        <v>107</v>
      </c>
      <c r="B50" s="28">
        <v>5000011124</v>
      </c>
      <c r="C50" s="37" t="s">
        <v>108</v>
      </c>
      <c r="D50" s="30" t="s">
        <v>96</v>
      </c>
      <c r="E50" s="31"/>
      <c r="F50" s="32">
        <v>11654.99</v>
      </c>
      <c r="G50" s="33">
        <f t="shared" si="0"/>
        <v>0</v>
      </c>
      <c r="H50" s="33">
        <f>ROUND('[1]RESUMO DA PROPOSTA'!$C$16*F50,2)</f>
        <v>16316.99</v>
      </c>
      <c r="I50" s="33">
        <f t="shared" si="1"/>
        <v>0</v>
      </c>
      <c r="J50" s="34"/>
    </row>
    <row r="51" spans="1:10" x14ac:dyDescent="0.25">
      <c r="A51" s="27" t="s">
        <v>109</v>
      </c>
      <c r="B51" s="28">
        <v>5000011125</v>
      </c>
      <c r="C51" s="37" t="s">
        <v>110</v>
      </c>
      <c r="D51" s="30" t="s">
        <v>96</v>
      </c>
      <c r="E51" s="31"/>
      <c r="F51" s="32">
        <v>7357.5</v>
      </c>
      <c r="G51" s="33">
        <f t="shared" si="0"/>
        <v>0</v>
      </c>
      <c r="H51" s="33">
        <f>ROUND('[1]RESUMO DA PROPOSTA'!$C$16*F51,2)</f>
        <v>10300.5</v>
      </c>
      <c r="I51" s="33">
        <f t="shared" si="1"/>
        <v>0</v>
      </c>
      <c r="J51" s="34"/>
    </row>
    <row r="52" spans="1:10" x14ac:dyDescent="0.25">
      <c r="A52" s="27" t="s">
        <v>111</v>
      </c>
      <c r="B52" s="28">
        <v>5000011385</v>
      </c>
      <c r="C52" s="38" t="s">
        <v>112</v>
      </c>
      <c r="D52" s="35" t="s">
        <v>29</v>
      </c>
      <c r="E52" s="31">
        <v>1</v>
      </c>
      <c r="F52" s="32">
        <v>9759.24</v>
      </c>
      <c r="G52" s="33">
        <f t="shared" si="0"/>
        <v>9759.24</v>
      </c>
      <c r="H52" s="33">
        <f>ROUND('[1]RESUMO DA PROPOSTA'!$C$16*F52,2)</f>
        <v>13662.94</v>
      </c>
      <c r="I52" s="33">
        <f t="shared" si="1"/>
        <v>13662.94</v>
      </c>
      <c r="J52" s="34"/>
    </row>
    <row r="53" spans="1:10" x14ac:dyDescent="0.25">
      <c r="A53" s="27" t="s">
        <v>113</v>
      </c>
      <c r="B53" s="28">
        <v>5000011126</v>
      </c>
      <c r="C53" s="38" t="s">
        <v>114</v>
      </c>
      <c r="D53" s="35" t="s">
        <v>29</v>
      </c>
      <c r="E53" s="31">
        <v>1</v>
      </c>
      <c r="F53" s="32">
        <v>3543.65</v>
      </c>
      <c r="G53" s="33">
        <f t="shared" si="0"/>
        <v>3543.65</v>
      </c>
      <c r="H53" s="33">
        <f>ROUND('[1]RESUMO DA PROPOSTA'!$C$16*F53,2)</f>
        <v>4961.1099999999997</v>
      </c>
      <c r="I53" s="33">
        <f t="shared" si="1"/>
        <v>4961.1099999999997</v>
      </c>
      <c r="J53" s="34"/>
    </row>
    <row r="54" spans="1:10" x14ac:dyDescent="0.25">
      <c r="A54" s="27" t="s">
        <v>115</v>
      </c>
      <c r="B54" s="28">
        <v>5000011386</v>
      </c>
      <c r="C54" s="38" t="s">
        <v>116</v>
      </c>
      <c r="D54" s="35" t="s">
        <v>117</v>
      </c>
      <c r="E54" s="31">
        <v>1</v>
      </c>
      <c r="F54" s="32">
        <v>4365.87</v>
      </c>
      <c r="G54" s="33">
        <f t="shared" si="0"/>
        <v>4365.87</v>
      </c>
      <c r="H54" s="33">
        <f>ROUND('[1]RESUMO DA PROPOSTA'!$C$16*F54,2)</f>
        <v>6112.22</v>
      </c>
      <c r="I54" s="33">
        <f t="shared" si="1"/>
        <v>6112.22</v>
      </c>
      <c r="J54" s="34"/>
    </row>
    <row r="55" spans="1:10" x14ac:dyDescent="0.25">
      <c r="A55" s="27" t="s">
        <v>118</v>
      </c>
      <c r="B55" s="28">
        <v>5000011387</v>
      </c>
      <c r="C55" s="29" t="s">
        <v>119</v>
      </c>
      <c r="D55" s="35" t="s">
        <v>120</v>
      </c>
      <c r="E55" s="31">
        <v>17.5</v>
      </c>
      <c r="F55" s="32">
        <v>13.74</v>
      </c>
      <c r="G55" s="33">
        <f t="shared" si="0"/>
        <v>240.45</v>
      </c>
      <c r="H55" s="33">
        <f>ROUND('[1]RESUMO DA PROPOSTA'!$C$16*F55,2)</f>
        <v>19.239999999999998</v>
      </c>
      <c r="I55" s="33">
        <f t="shared" si="1"/>
        <v>336.7</v>
      </c>
      <c r="J55" s="34"/>
    </row>
    <row r="56" spans="1:10" x14ac:dyDescent="0.25">
      <c r="A56" s="27" t="s">
        <v>121</v>
      </c>
      <c r="B56" s="28">
        <v>5000011127</v>
      </c>
      <c r="C56" s="29" t="s">
        <v>122</v>
      </c>
      <c r="D56" s="35" t="s">
        <v>29</v>
      </c>
      <c r="E56" s="31"/>
      <c r="F56" s="32">
        <v>927.5</v>
      </c>
      <c r="G56" s="33">
        <f t="shared" si="0"/>
        <v>0</v>
      </c>
      <c r="H56" s="33">
        <f>ROUND('[1]RESUMO DA PROPOSTA'!$C$16*F56,2)</f>
        <v>1298.5</v>
      </c>
      <c r="I56" s="33">
        <f t="shared" si="1"/>
        <v>0</v>
      </c>
      <c r="J56" s="34"/>
    </row>
    <row r="57" spans="1:10" x14ac:dyDescent="0.25">
      <c r="A57" s="27" t="s">
        <v>123</v>
      </c>
      <c r="B57" s="28">
        <v>5000011388</v>
      </c>
      <c r="C57" s="29" t="s">
        <v>124</v>
      </c>
      <c r="D57" s="35" t="s">
        <v>29</v>
      </c>
      <c r="E57" s="31">
        <v>1</v>
      </c>
      <c r="F57" s="32">
        <v>2277.86</v>
      </c>
      <c r="G57" s="33">
        <f t="shared" si="0"/>
        <v>2277.86</v>
      </c>
      <c r="H57" s="33">
        <f>ROUND('[1]RESUMO DA PROPOSTA'!$C$16*F57,2)</f>
        <v>3189</v>
      </c>
      <c r="I57" s="33">
        <f t="shared" si="1"/>
        <v>3189</v>
      </c>
      <c r="J57" s="34"/>
    </row>
    <row r="58" spans="1:10" x14ac:dyDescent="0.25">
      <c r="A58" s="27" t="s">
        <v>125</v>
      </c>
      <c r="B58" s="28">
        <v>5000011389</v>
      </c>
      <c r="C58" s="29" t="s">
        <v>126</v>
      </c>
      <c r="D58" s="35" t="s">
        <v>117</v>
      </c>
      <c r="E58" s="31">
        <v>1</v>
      </c>
      <c r="F58" s="32">
        <v>3500</v>
      </c>
      <c r="G58" s="33">
        <f t="shared" si="0"/>
        <v>3500</v>
      </c>
      <c r="H58" s="33">
        <f>ROUND('[1]RESUMO DA PROPOSTA'!$C$16*F58,2)</f>
        <v>4900</v>
      </c>
      <c r="I58" s="33">
        <f t="shared" si="1"/>
        <v>4900</v>
      </c>
      <c r="J58" s="34"/>
    </row>
    <row r="59" spans="1:10" x14ac:dyDescent="0.25">
      <c r="A59" s="27" t="s">
        <v>127</v>
      </c>
      <c r="B59" s="28">
        <v>5000011128</v>
      </c>
      <c r="C59" s="29" t="s">
        <v>128</v>
      </c>
      <c r="D59" s="30" t="s">
        <v>129</v>
      </c>
      <c r="E59" s="31"/>
      <c r="F59" s="32">
        <v>545.46</v>
      </c>
      <c r="G59" s="33">
        <f t="shared" si="0"/>
        <v>0</v>
      </c>
      <c r="H59" s="33">
        <f>ROUND('[1]RESUMO DA PROPOSTA'!$C$16*F59,2)</f>
        <v>763.64</v>
      </c>
      <c r="I59" s="33">
        <f t="shared" si="1"/>
        <v>0</v>
      </c>
      <c r="J59" s="34"/>
    </row>
    <row r="60" spans="1:10" x14ac:dyDescent="0.25">
      <c r="A60" s="27" t="s">
        <v>130</v>
      </c>
      <c r="B60" s="28">
        <v>5000011129</v>
      </c>
      <c r="C60" s="29" t="s">
        <v>131</v>
      </c>
      <c r="D60" s="30" t="s">
        <v>29</v>
      </c>
      <c r="E60" s="31">
        <v>2</v>
      </c>
      <c r="F60" s="32">
        <v>2742.75</v>
      </c>
      <c r="G60" s="33">
        <f t="shared" si="0"/>
        <v>5485.5</v>
      </c>
      <c r="H60" s="33">
        <f>ROUND('[1]RESUMO DA PROPOSTA'!$C$16*F60,2)</f>
        <v>3839.85</v>
      </c>
      <c r="I60" s="33">
        <f t="shared" si="1"/>
        <v>7679.7</v>
      </c>
      <c r="J60" s="34"/>
    </row>
    <row r="61" spans="1:10" x14ac:dyDescent="0.25">
      <c r="A61" s="27" t="s">
        <v>132</v>
      </c>
      <c r="B61" s="28">
        <v>5000011130</v>
      </c>
      <c r="C61" s="29" t="s">
        <v>133</v>
      </c>
      <c r="D61" s="30" t="s">
        <v>29</v>
      </c>
      <c r="E61" s="31"/>
      <c r="F61" s="32">
        <v>5611</v>
      </c>
      <c r="G61" s="33">
        <f t="shared" si="0"/>
        <v>0</v>
      </c>
      <c r="H61" s="33">
        <f>ROUND('[1]RESUMO DA PROPOSTA'!$C$16*F61,2)</f>
        <v>7855.4</v>
      </c>
      <c r="I61" s="33">
        <f t="shared" si="1"/>
        <v>0</v>
      </c>
      <c r="J61" s="34"/>
    </row>
    <row r="62" spans="1:10" x14ac:dyDescent="0.25">
      <c r="A62" s="27" t="s">
        <v>134</v>
      </c>
      <c r="B62" s="28">
        <v>5000011131</v>
      </c>
      <c r="C62" s="29" t="s">
        <v>135</v>
      </c>
      <c r="D62" s="30" t="s">
        <v>129</v>
      </c>
      <c r="E62" s="31">
        <v>3</v>
      </c>
      <c r="F62" s="32">
        <v>694.12</v>
      </c>
      <c r="G62" s="33">
        <f t="shared" si="0"/>
        <v>2082.36</v>
      </c>
      <c r="H62" s="33">
        <f>ROUND('[1]RESUMO DA PROPOSTA'!$C$16*F62,2)</f>
        <v>971.77</v>
      </c>
      <c r="I62" s="33">
        <f t="shared" si="1"/>
        <v>2915.31</v>
      </c>
      <c r="J62" s="34"/>
    </row>
    <row r="63" spans="1:10" x14ac:dyDescent="0.25">
      <c r="A63" s="27" t="s">
        <v>136</v>
      </c>
      <c r="B63" s="28">
        <v>5000011132</v>
      </c>
      <c r="C63" s="29" t="s">
        <v>137</v>
      </c>
      <c r="D63" s="30" t="s">
        <v>129</v>
      </c>
      <c r="E63" s="31"/>
      <c r="F63" s="32">
        <v>137.72999999999999</v>
      </c>
      <c r="G63" s="33">
        <f t="shared" si="0"/>
        <v>0</v>
      </c>
      <c r="H63" s="33">
        <f>ROUND('[1]RESUMO DA PROPOSTA'!$C$16*F63,2)</f>
        <v>192.82</v>
      </c>
      <c r="I63" s="33">
        <f t="shared" si="1"/>
        <v>0</v>
      </c>
      <c r="J63" s="34"/>
    </row>
    <row r="64" spans="1:10" x14ac:dyDescent="0.25">
      <c r="A64" s="27" t="s">
        <v>138</v>
      </c>
      <c r="B64" s="28">
        <v>5000011133</v>
      </c>
      <c r="C64" s="29" t="s">
        <v>139</v>
      </c>
      <c r="D64" s="30" t="s">
        <v>117</v>
      </c>
      <c r="E64" s="31">
        <v>1</v>
      </c>
      <c r="F64" s="32">
        <v>1555.45</v>
      </c>
      <c r="G64" s="33">
        <f t="shared" si="0"/>
        <v>1555.45</v>
      </c>
      <c r="H64" s="33">
        <f>ROUND('[1]RESUMO DA PROPOSTA'!$C$16*F64,2)</f>
        <v>2177.63</v>
      </c>
      <c r="I64" s="33">
        <f t="shared" si="1"/>
        <v>2177.63</v>
      </c>
      <c r="J64" s="34"/>
    </row>
    <row r="65" spans="1:10" x14ac:dyDescent="0.25">
      <c r="A65" s="27" t="s">
        <v>140</v>
      </c>
      <c r="B65" s="28">
        <v>5000011134</v>
      </c>
      <c r="C65" s="29" t="s">
        <v>141</v>
      </c>
      <c r="D65" s="30" t="s">
        <v>117</v>
      </c>
      <c r="E65" s="31"/>
      <c r="F65" s="32">
        <v>1184.24</v>
      </c>
      <c r="G65" s="33">
        <f t="shared" si="0"/>
        <v>0</v>
      </c>
      <c r="H65" s="33">
        <f>ROUND('[1]RESUMO DA PROPOSTA'!$C$16*F65,2)</f>
        <v>1657.94</v>
      </c>
      <c r="I65" s="33">
        <f t="shared" si="1"/>
        <v>0</v>
      </c>
      <c r="J65" s="34"/>
    </row>
    <row r="66" spans="1:10" x14ac:dyDescent="0.25">
      <c r="A66" s="27" t="s">
        <v>142</v>
      </c>
      <c r="B66" s="28">
        <v>5000011135</v>
      </c>
      <c r="C66" s="29" t="s">
        <v>143</v>
      </c>
      <c r="D66" s="30" t="s">
        <v>20</v>
      </c>
      <c r="E66" s="31"/>
      <c r="F66" s="32">
        <v>61.17</v>
      </c>
      <c r="G66" s="33">
        <f t="shared" si="0"/>
        <v>0</v>
      </c>
      <c r="H66" s="33">
        <f>ROUND('[1]RESUMO DA PROPOSTA'!$C$16*F66,2)</f>
        <v>85.64</v>
      </c>
      <c r="I66" s="33">
        <f t="shared" si="1"/>
        <v>0</v>
      </c>
      <c r="J66" s="34"/>
    </row>
    <row r="67" spans="1:10" x14ac:dyDescent="0.25">
      <c r="A67" s="27" t="s">
        <v>144</v>
      </c>
      <c r="B67" s="28">
        <v>5000011136</v>
      </c>
      <c r="C67" s="29" t="s">
        <v>145</v>
      </c>
      <c r="D67" s="30" t="s">
        <v>146</v>
      </c>
      <c r="E67" s="31"/>
      <c r="F67" s="32">
        <v>482.55</v>
      </c>
      <c r="G67" s="33">
        <f t="shared" si="0"/>
        <v>0</v>
      </c>
      <c r="H67" s="33">
        <f>ROUND('[1]RESUMO DA PROPOSTA'!$C$16*F67,2)</f>
        <v>675.57</v>
      </c>
      <c r="I67" s="33">
        <f t="shared" si="1"/>
        <v>0</v>
      </c>
      <c r="J67" s="34"/>
    </row>
    <row r="68" spans="1:10" x14ac:dyDescent="0.25">
      <c r="A68" s="27" t="s">
        <v>147</v>
      </c>
      <c r="B68" s="28">
        <v>3000018187</v>
      </c>
      <c r="C68" s="29" t="s">
        <v>148</v>
      </c>
      <c r="D68" s="30" t="s">
        <v>117</v>
      </c>
      <c r="E68" s="31">
        <v>1</v>
      </c>
      <c r="F68" s="32">
        <v>1085.04</v>
      </c>
      <c r="G68" s="33">
        <f t="shared" si="0"/>
        <v>1085.04</v>
      </c>
      <c r="H68" s="33">
        <f>ROUND('[1]RESUMO DA PROPOSTA'!$C$16*F68,2)</f>
        <v>1519.06</v>
      </c>
      <c r="I68" s="33">
        <f t="shared" si="1"/>
        <v>1519.06</v>
      </c>
      <c r="J68" s="34"/>
    </row>
    <row r="69" spans="1:10" x14ac:dyDescent="0.25">
      <c r="A69" s="27" t="s">
        <v>149</v>
      </c>
      <c r="B69" s="28">
        <v>3000018189</v>
      </c>
      <c r="C69" s="29" t="s">
        <v>150</v>
      </c>
      <c r="D69" s="30" t="s">
        <v>117</v>
      </c>
      <c r="E69" s="31"/>
      <c r="F69" s="32">
        <v>400</v>
      </c>
      <c r="G69" s="33">
        <f t="shared" si="0"/>
        <v>0</v>
      </c>
      <c r="H69" s="33">
        <f>ROUND('[1]RESUMO DA PROPOSTA'!$C$16*F69,2)</f>
        <v>560</v>
      </c>
      <c r="I69" s="33">
        <f t="shared" si="1"/>
        <v>0</v>
      </c>
      <c r="J69" s="34"/>
    </row>
    <row r="70" spans="1:10" x14ac:dyDescent="0.25">
      <c r="A70" s="27" t="s">
        <v>151</v>
      </c>
      <c r="B70" s="28">
        <v>5000011390</v>
      </c>
      <c r="C70" s="29" t="s">
        <v>152</v>
      </c>
      <c r="D70" s="35" t="s">
        <v>117</v>
      </c>
      <c r="E70" s="31"/>
      <c r="F70" s="32">
        <v>1972.8</v>
      </c>
      <c r="G70" s="33">
        <f t="shared" si="0"/>
        <v>0</v>
      </c>
      <c r="H70" s="33">
        <f>ROUND('[1]RESUMO DA PROPOSTA'!$C$16*F70,2)</f>
        <v>2761.92</v>
      </c>
      <c r="I70" s="33">
        <f t="shared" si="1"/>
        <v>0</v>
      </c>
      <c r="J70" s="34"/>
    </row>
    <row r="71" spans="1:10" x14ac:dyDescent="0.25">
      <c r="A71" s="27" t="s">
        <v>153</v>
      </c>
      <c r="B71" s="28">
        <v>5000011391</v>
      </c>
      <c r="C71" s="29" t="s">
        <v>154</v>
      </c>
      <c r="D71" s="35" t="s">
        <v>117</v>
      </c>
      <c r="E71" s="31">
        <v>1</v>
      </c>
      <c r="F71" s="32">
        <v>678.16</v>
      </c>
      <c r="G71" s="33">
        <f t="shared" ref="G71:G79" si="2">ROUND(E71*F71,2)</f>
        <v>678.16</v>
      </c>
      <c r="H71" s="33">
        <f>ROUND('[1]RESUMO DA PROPOSTA'!$C$16*F71,2)</f>
        <v>949.42</v>
      </c>
      <c r="I71" s="33">
        <f t="shared" ref="I71:I79" si="3">ROUND(E71*H71,2)</f>
        <v>949.42</v>
      </c>
      <c r="J71" s="34"/>
    </row>
    <row r="72" spans="1:10" x14ac:dyDescent="0.25">
      <c r="A72" s="27" t="s">
        <v>155</v>
      </c>
      <c r="B72" s="28">
        <v>5000011392</v>
      </c>
      <c r="C72" s="29" t="s">
        <v>156</v>
      </c>
      <c r="D72" s="35" t="s">
        <v>117</v>
      </c>
      <c r="E72" s="31"/>
      <c r="F72" s="32">
        <v>394.56</v>
      </c>
      <c r="G72" s="33">
        <f t="shared" si="2"/>
        <v>0</v>
      </c>
      <c r="H72" s="33">
        <f>ROUND('[1]RESUMO DA PROPOSTA'!$C$16*F72,2)</f>
        <v>552.38</v>
      </c>
      <c r="I72" s="33">
        <f t="shared" si="3"/>
        <v>0</v>
      </c>
      <c r="J72" s="34"/>
    </row>
    <row r="73" spans="1:10" x14ac:dyDescent="0.25">
      <c r="A73" s="27" t="s">
        <v>157</v>
      </c>
      <c r="B73" s="28">
        <v>5000011393</v>
      </c>
      <c r="C73" s="29" t="s">
        <v>158</v>
      </c>
      <c r="D73" s="35" t="s">
        <v>117</v>
      </c>
      <c r="E73" s="31"/>
      <c r="F73" s="32">
        <v>219.02</v>
      </c>
      <c r="G73" s="33">
        <f t="shared" si="2"/>
        <v>0</v>
      </c>
      <c r="H73" s="33">
        <f>ROUND('[1]RESUMO DA PROPOSTA'!$C$16*F73,2)</f>
        <v>306.63</v>
      </c>
      <c r="I73" s="33">
        <f t="shared" si="3"/>
        <v>0</v>
      </c>
      <c r="J73" s="34"/>
    </row>
    <row r="74" spans="1:10" x14ac:dyDescent="0.25">
      <c r="A74" s="27" t="s">
        <v>159</v>
      </c>
      <c r="B74" s="28">
        <v>5000011394</v>
      </c>
      <c r="C74" s="29" t="s">
        <v>160</v>
      </c>
      <c r="D74" s="35" t="s">
        <v>117</v>
      </c>
      <c r="E74" s="31"/>
      <c r="F74" s="32">
        <v>207.01</v>
      </c>
      <c r="G74" s="33">
        <f t="shared" si="2"/>
        <v>0</v>
      </c>
      <c r="H74" s="33">
        <f>ROUND('[1]RESUMO DA PROPOSTA'!$C$16*F74,2)</f>
        <v>289.81</v>
      </c>
      <c r="I74" s="33">
        <f t="shared" si="3"/>
        <v>0</v>
      </c>
      <c r="J74" s="34"/>
    </row>
    <row r="75" spans="1:10" x14ac:dyDescent="0.25">
      <c r="A75" s="27" t="s">
        <v>161</v>
      </c>
      <c r="B75" s="28">
        <v>5000011395</v>
      </c>
      <c r="C75" s="38" t="s">
        <v>162</v>
      </c>
      <c r="D75" s="30" t="s">
        <v>29</v>
      </c>
      <c r="E75" s="31">
        <v>2</v>
      </c>
      <c r="F75" s="32">
        <v>2367.36</v>
      </c>
      <c r="G75" s="33">
        <f t="shared" si="2"/>
        <v>4734.72</v>
      </c>
      <c r="H75" s="33">
        <f>ROUND('[1]RESUMO DA PROPOSTA'!$C$16*F75,2)</f>
        <v>3314.3</v>
      </c>
      <c r="I75" s="33">
        <f t="shared" si="3"/>
        <v>6628.6</v>
      </c>
      <c r="J75" s="34"/>
    </row>
    <row r="76" spans="1:10" x14ac:dyDescent="0.25">
      <c r="A76" s="27" t="s">
        <v>163</v>
      </c>
      <c r="B76" s="28">
        <v>5000011396</v>
      </c>
      <c r="C76" s="29" t="s">
        <v>164</v>
      </c>
      <c r="D76" s="35" t="s">
        <v>96</v>
      </c>
      <c r="E76" s="31">
        <v>1</v>
      </c>
      <c r="F76" s="32">
        <v>6148.56</v>
      </c>
      <c r="G76" s="33">
        <f t="shared" si="2"/>
        <v>6148.56</v>
      </c>
      <c r="H76" s="33">
        <f>ROUND('[1]RESUMO DA PROPOSTA'!$C$16*F76,2)</f>
        <v>8607.98</v>
      </c>
      <c r="I76" s="33">
        <f t="shared" si="3"/>
        <v>8607.98</v>
      </c>
      <c r="J76" s="34"/>
    </row>
    <row r="77" spans="1:10" x14ac:dyDescent="0.25">
      <c r="A77" s="27" t="s">
        <v>165</v>
      </c>
      <c r="B77" s="28">
        <v>5000011397</v>
      </c>
      <c r="C77" s="29" t="s">
        <v>166</v>
      </c>
      <c r="D77" s="35" t="s">
        <v>96</v>
      </c>
      <c r="E77" s="31">
        <v>1</v>
      </c>
      <c r="F77" s="32">
        <v>5260.8</v>
      </c>
      <c r="G77" s="33">
        <f t="shared" si="2"/>
        <v>5260.8</v>
      </c>
      <c r="H77" s="33">
        <f>ROUND('[1]RESUMO DA PROPOSTA'!$C$16*F77,2)</f>
        <v>7365.12</v>
      </c>
      <c r="I77" s="33">
        <f t="shared" si="3"/>
        <v>7365.12</v>
      </c>
      <c r="J77" s="34"/>
    </row>
    <row r="78" spans="1:10" x14ac:dyDescent="0.25">
      <c r="A78" s="27" t="s">
        <v>167</v>
      </c>
      <c r="B78" s="28">
        <v>5000011398</v>
      </c>
      <c r="C78" s="38" t="s">
        <v>168</v>
      </c>
      <c r="D78" s="30" t="s">
        <v>29</v>
      </c>
      <c r="E78" s="31">
        <v>1</v>
      </c>
      <c r="F78" s="32">
        <v>4932.3900000000003</v>
      </c>
      <c r="G78" s="33">
        <f t="shared" si="2"/>
        <v>4932.3900000000003</v>
      </c>
      <c r="H78" s="33">
        <f>ROUND('[1]RESUMO DA PROPOSTA'!$C$16*F78,2)</f>
        <v>6905.35</v>
      </c>
      <c r="I78" s="33">
        <f t="shared" si="3"/>
        <v>6905.35</v>
      </c>
      <c r="J78" s="34"/>
    </row>
    <row r="79" spans="1:10" x14ac:dyDescent="0.25">
      <c r="A79" s="27" t="s">
        <v>169</v>
      </c>
      <c r="B79" s="28">
        <v>5000011399</v>
      </c>
      <c r="C79" s="29" t="s">
        <v>170</v>
      </c>
      <c r="D79" s="35" t="s">
        <v>117</v>
      </c>
      <c r="E79" s="31"/>
      <c r="F79" s="32">
        <v>1678.72</v>
      </c>
      <c r="G79" s="33">
        <f t="shared" si="2"/>
        <v>0</v>
      </c>
      <c r="H79" s="33">
        <f>ROUND('[1]RESUMO DA PROPOSTA'!$C$16*F79,2)</f>
        <v>2350.21</v>
      </c>
      <c r="I79" s="33">
        <f t="shared" si="3"/>
        <v>0</v>
      </c>
      <c r="J79" s="34"/>
    </row>
    <row r="80" spans="1:10" x14ac:dyDescent="0.25">
      <c r="A80" s="27" t="s">
        <v>171</v>
      </c>
      <c r="B80" s="28">
        <v>5000011400</v>
      </c>
      <c r="C80" s="38" t="s">
        <v>172</v>
      </c>
      <c r="D80" s="30" t="s">
        <v>173</v>
      </c>
      <c r="E80" s="39">
        <v>8</v>
      </c>
      <c r="F80" s="32">
        <f>SUBTOTAL(9,(G7:G79),(G82:G1005))</f>
        <v>606905.6100000001</v>
      </c>
      <c r="G80" s="33">
        <f>ROUND(E80%*F80,2)</f>
        <v>48552.45</v>
      </c>
      <c r="H80" s="32">
        <v>0.08</v>
      </c>
      <c r="I80" s="33">
        <f>ROUND(E80%*H80,2)</f>
        <v>0.01</v>
      </c>
      <c r="J80" s="34"/>
    </row>
    <row r="81" spans="1:10" ht="15.75" x14ac:dyDescent="0.25">
      <c r="A81" s="18" t="s">
        <v>174</v>
      </c>
      <c r="B81" s="19"/>
      <c r="C81" s="20" t="s">
        <v>175</v>
      </c>
      <c r="D81" s="21"/>
      <c r="E81" s="40"/>
      <c r="F81" s="23" t="s">
        <v>17</v>
      </c>
      <c r="G81" s="24">
        <f>SUBTOTAL(9,G82:G94)</f>
        <v>1138.94</v>
      </c>
      <c r="H81" s="25" t="s">
        <v>17</v>
      </c>
      <c r="I81" s="24">
        <f>SUBTOTAL(9,I82:I94)</f>
        <v>1708.41</v>
      </c>
      <c r="J81" s="26"/>
    </row>
    <row r="82" spans="1:10" x14ac:dyDescent="0.25">
      <c r="A82" s="41" t="s">
        <v>176</v>
      </c>
      <c r="B82" s="28">
        <v>3000001041</v>
      </c>
      <c r="C82" s="42" t="s">
        <v>177</v>
      </c>
      <c r="D82" s="30" t="s">
        <v>178</v>
      </c>
      <c r="E82" s="31"/>
      <c r="F82" s="32">
        <v>10.95</v>
      </c>
      <c r="G82" s="33">
        <f t="shared" ref="G82:G94" si="4">ROUND(E82*F82,2)</f>
        <v>0</v>
      </c>
      <c r="H82" s="33">
        <f>ROUND('[1]RESUMO DA PROPOSTA'!$C$17*F82,2)</f>
        <v>16.43</v>
      </c>
      <c r="I82" s="33">
        <f t="shared" ref="I82:I94" si="5">ROUND(E82*H82,2)</f>
        <v>0</v>
      </c>
      <c r="J82" s="34"/>
    </row>
    <row r="83" spans="1:10" ht="25.5" x14ac:dyDescent="0.25">
      <c r="A83" s="41" t="s">
        <v>179</v>
      </c>
      <c r="B83" s="28">
        <v>5000007398</v>
      </c>
      <c r="C83" s="42" t="s">
        <v>180</v>
      </c>
      <c r="D83" s="35" t="s">
        <v>20</v>
      </c>
      <c r="E83" s="31"/>
      <c r="F83" s="32">
        <v>27</v>
      </c>
      <c r="G83" s="33">
        <f t="shared" si="4"/>
        <v>0</v>
      </c>
      <c r="H83" s="33">
        <f>ROUND('[1]RESUMO DA PROPOSTA'!$C$17*F83,2)</f>
        <v>40.5</v>
      </c>
      <c r="I83" s="33">
        <f t="shared" si="5"/>
        <v>0</v>
      </c>
      <c r="J83" s="34"/>
    </row>
    <row r="84" spans="1:10" ht="25.5" x14ac:dyDescent="0.25">
      <c r="A84" s="41" t="s">
        <v>181</v>
      </c>
      <c r="B84" s="28">
        <v>5000007476</v>
      </c>
      <c r="C84" s="42" t="s">
        <v>182</v>
      </c>
      <c r="D84" s="30" t="s">
        <v>178</v>
      </c>
      <c r="E84" s="31"/>
      <c r="F84" s="32">
        <v>66.53</v>
      </c>
      <c r="G84" s="33">
        <f t="shared" si="4"/>
        <v>0</v>
      </c>
      <c r="H84" s="33">
        <f>ROUND('[1]RESUMO DA PROPOSTA'!$C$17*F84,2)</f>
        <v>99.8</v>
      </c>
      <c r="I84" s="33">
        <f t="shared" si="5"/>
        <v>0</v>
      </c>
      <c r="J84" s="34"/>
    </row>
    <row r="85" spans="1:10" x14ac:dyDescent="0.25">
      <c r="A85" s="41" t="s">
        <v>183</v>
      </c>
      <c r="B85" s="28">
        <v>5000007567</v>
      </c>
      <c r="C85" s="42" t="s">
        <v>184</v>
      </c>
      <c r="D85" s="35" t="s">
        <v>178</v>
      </c>
      <c r="E85" s="31"/>
      <c r="F85" s="32">
        <v>2.0499999999999998</v>
      </c>
      <c r="G85" s="33">
        <f t="shared" si="4"/>
        <v>0</v>
      </c>
      <c r="H85" s="33">
        <f>ROUND('[1]RESUMO DA PROPOSTA'!$C$17*F85,2)</f>
        <v>3.08</v>
      </c>
      <c r="I85" s="33">
        <f t="shared" si="5"/>
        <v>0</v>
      </c>
      <c r="J85" s="34"/>
    </row>
    <row r="86" spans="1:10" x14ac:dyDescent="0.25">
      <c r="A86" s="41" t="s">
        <v>185</v>
      </c>
      <c r="B86" s="28">
        <v>5000007569</v>
      </c>
      <c r="C86" s="42" t="s">
        <v>186</v>
      </c>
      <c r="D86" s="30" t="s">
        <v>187</v>
      </c>
      <c r="E86" s="31">
        <v>47</v>
      </c>
      <c r="F86" s="32">
        <v>18</v>
      </c>
      <c r="G86" s="33">
        <f t="shared" si="4"/>
        <v>846</v>
      </c>
      <c r="H86" s="33">
        <f>ROUND('[1]RESUMO DA PROPOSTA'!$C$17*F86,2)</f>
        <v>27</v>
      </c>
      <c r="I86" s="33">
        <f t="shared" si="5"/>
        <v>1269</v>
      </c>
      <c r="J86" s="34"/>
    </row>
    <row r="87" spans="1:10" ht="25.5" x14ac:dyDescent="0.25">
      <c r="A87" s="41" t="s">
        <v>188</v>
      </c>
      <c r="B87" s="28">
        <v>5000007570</v>
      </c>
      <c r="C87" s="42" t="s">
        <v>189</v>
      </c>
      <c r="D87" s="30" t="s">
        <v>187</v>
      </c>
      <c r="E87" s="31"/>
      <c r="F87" s="32">
        <v>13</v>
      </c>
      <c r="G87" s="33">
        <f t="shared" si="4"/>
        <v>0</v>
      </c>
      <c r="H87" s="33">
        <f>ROUND('[1]RESUMO DA PROPOSTA'!$C$17*F87,2)</f>
        <v>19.5</v>
      </c>
      <c r="I87" s="33">
        <f t="shared" si="5"/>
        <v>0</v>
      </c>
      <c r="J87" s="34"/>
    </row>
    <row r="88" spans="1:10" x14ac:dyDescent="0.25">
      <c r="A88" s="41" t="s">
        <v>190</v>
      </c>
      <c r="B88" s="28">
        <v>5000007722</v>
      </c>
      <c r="C88" s="42" t="s">
        <v>191</v>
      </c>
      <c r="D88" s="30" t="s">
        <v>20</v>
      </c>
      <c r="E88" s="31"/>
      <c r="F88" s="32">
        <v>2</v>
      </c>
      <c r="G88" s="33">
        <f t="shared" si="4"/>
        <v>0</v>
      </c>
      <c r="H88" s="33">
        <f>ROUND('[1]RESUMO DA PROPOSTA'!$C$17*F88,2)</f>
        <v>3</v>
      </c>
      <c r="I88" s="33">
        <f t="shared" si="5"/>
        <v>0</v>
      </c>
      <c r="J88" s="34"/>
    </row>
    <row r="89" spans="1:10" x14ac:dyDescent="0.25">
      <c r="A89" s="41" t="s">
        <v>192</v>
      </c>
      <c r="B89" s="28">
        <v>5000011137</v>
      </c>
      <c r="C89" s="42" t="s">
        <v>193</v>
      </c>
      <c r="D89" s="35" t="s">
        <v>20</v>
      </c>
      <c r="E89" s="31"/>
      <c r="F89" s="32">
        <v>7.61</v>
      </c>
      <c r="G89" s="33">
        <f t="shared" si="4"/>
        <v>0</v>
      </c>
      <c r="H89" s="33">
        <f>ROUND('[1]RESUMO DA PROPOSTA'!$C$17*F89,2)</f>
        <v>11.42</v>
      </c>
      <c r="I89" s="33">
        <f t="shared" si="5"/>
        <v>0</v>
      </c>
      <c r="J89" s="34"/>
    </row>
    <row r="90" spans="1:10" x14ac:dyDescent="0.25">
      <c r="A90" s="41" t="s">
        <v>194</v>
      </c>
      <c r="B90" s="28">
        <v>5000011138</v>
      </c>
      <c r="C90" s="42" t="s">
        <v>195</v>
      </c>
      <c r="D90" s="35" t="s">
        <v>20</v>
      </c>
      <c r="E90" s="31"/>
      <c r="F90" s="32">
        <v>9.98</v>
      </c>
      <c r="G90" s="33">
        <f t="shared" si="4"/>
        <v>0</v>
      </c>
      <c r="H90" s="33">
        <f>ROUND('[1]RESUMO DA PROPOSTA'!$C$17*F90,2)</f>
        <v>14.97</v>
      </c>
      <c r="I90" s="33">
        <f t="shared" si="5"/>
        <v>0</v>
      </c>
      <c r="J90" s="34"/>
    </row>
    <row r="91" spans="1:10" x14ac:dyDescent="0.25">
      <c r="A91" s="41" t="s">
        <v>196</v>
      </c>
      <c r="B91" s="28">
        <v>5000011139</v>
      </c>
      <c r="C91" s="42" t="s">
        <v>197</v>
      </c>
      <c r="D91" s="35" t="s">
        <v>20</v>
      </c>
      <c r="E91" s="31"/>
      <c r="F91" s="32">
        <v>7.74</v>
      </c>
      <c r="G91" s="33">
        <f t="shared" si="4"/>
        <v>0</v>
      </c>
      <c r="H91" s="33">
        <f>ROUND('[1]RESUMO DA PROPOSTA'!$C$17*F91,2)</f>
        <v>11.61</v>
      </c>
      <c r="I91" s="33">
        <f t="shared" si="5"/>
        <v>0</v>
      </c>
      <c r="J91" s="34"/>
    </row>
    <row r="92" spans="1:10" x14ac:dyDescent="0.25">
      <c r="A92" s="41" t="s">
        <v>198</v>
      </c>
      <c r="B92" s="28">
        <v>5000011140</v>
      </c>
      <c r="C92" s="42" t="s">
        <v>199</v>
      </c>
      <c r="D92" s="35" t="s">
        <v>29</v>
      </c>
      <c r="E92" s="31"/>
      <c r="F92" s="32">
        <v>1510.48</v>
      </c>
      <c r="G92" s="33">
        <f t="shared" si="4"/>
        <v>0</v>
      </c>
      <c r="H92" s="33">
        <f>ROUND('[1]RESUMO DA PROPOSTA'!$C$17*F92,2)</f>
        <v>2265.7199999999998</v>
      </c>
      <c r="I92" s="33">
        <f t="shared" si="5"/>
        <v>0</v>
      </c>
      <c r="J92" s="34"/>
    </row>
    <row r="93" spans="1:10" x14ac:dyDescent="0.25">
      <c r="A93" s="41" t="s">
        <v>200</v>
      </c>
      <c r="B93" s="28">
        <v>5000011141</v>
      </c>
      <c r="C93" s="42" t="s">
        <v>201</v>
      </c>
      <c r="D93" s="35" t="s">
        <v>29</v>
      </c>
      <c r="E93" s="31"/>
      <c r="F93" s="32">
        <v>19.63</v>
      </c>
      <c r="G93" s="33">
        <f t="shared" si="4"/>
        <v>0</v>
      </c>
      <c r="H93" s="33">
        <f>ROUND('[1]RESUMO DA PROPOSTA'!$C$17*F93,2)</f>
        <v>29.45</v>
      </c>
      <c r="I93" s="33">
        <f t="shared" si="5"/>
        <v>0</v>
      </c>
      <c r="J93" s="34"/>
    </row>
    <row r="94" spans="1:10" x14ac:dyDescent="0.25">
      <c r="A94" s="41" t="s">
        <v>202</v>
      </c>
      <c r="B94" s="28">
        <v>5000011401</v>
      </c>
      <c r="C94" s="42" t="s">
        <v>203</v>
      </c>
      <c r="D94" s="35" t="s">
        <v>20</v>
      </c>
      <c r="E94" s="31">
        <v>48.5</v>
      </c>
      <c r="F94" s="32">
        <v>6.04</v>
      </c>
      <c r="G94" s="33">
        <f t="shared" si="4"/>
        <v>292.94</v>
      </c>
      <c r="H94" s="33">
        <f>ROUND('[1]RESUMO DA PROPOSTA'!$C$17*F94,2)</f>
        <v>9.06</v>
      </c>
      <c r="I94" s="33">
        <f t="shared" si="5"/>
        <v>439.41</v>
      </c>
      <c r="J94" s="34"/>
    </row>
    <row r="95" spans="1:10" ht="15.75" x14ac:dyDescent="0.25">
      <c r="A95" s="18" t="s">
        <v>204</v>
      </c>
      <c r="B95" s="19"/>
      <c r="C95" s="20" t="s">
        <v>205</v>
      </c>
      <c r="D95" s="21"/>
      <c r="E95" s="40"/>
      <c r="F95" s="23" t="s">
        <v>17</v>
      </c>
      <c r="G95" s="24">
        <f>SUBTOTAL(9,G96:G489)</f>
        <v>529821.24</v>
      </c>
      <c r="H95" s="25" t="s">
        <v>17</v>
      </c>
      <c r="I95" s="24">
        <f>SUBTOTAL(9,I96:I489)</f>
        <v>1006660.3499999999</v>
      </c>
      <c r="J95" s="26"/>
    </row>
    <row r="96" spans="1:10" ht="15.75" x14ac:dyDescent="0.25">
      <c r="A96" s="43" t="s">
        <v>206</v>
      </c>
      <c r="B96" s="44"/>
      <c r="C96" s="45" t="s">
        <v>207</v>
      </c>
      <c r="D96" s="46"/>
      <c r="E96" s="47"/>
      <c r="F96" s="48" t="s">
        <v>17</v>
      </c>
      <c r="G96" s="49">
        <f>SUBTOTAL(9,G97:G115)</f>
        <v>254.28000000000003</v>
      </c>
      <c r="H96" s="48" t="s">
        <v>17</v>
      </c>
      <c r="I96" s="49">
        <f>SUBTOTAL(9,I97:I115)</f>
        <v>483.18</v>
      </c>
      <c r="J96" s="50"/>
    </row>
    <row r="97" spans="1:10" x14ac:dyDescent="0.25">
      <c r="A97" s="51" t="s">
        <v>208</v>
      </c>
      <c r="B97" s="52">
        <v>5000011142</v>
      </c>
      <c r="C97" s="53" t="s">
        <v>209</v>
      </c>
      <c r="D97" s="54" t="s">
        <v>129</v>
      </c>
      <c r="E97" s="31"/>
      <c r="F97" s="55">
        <v>1.59</v>
      </c>
      <c r="G97" s="56">
        <f t="shared" ref="G97:G115" si="6">ROUND(E97*F97,2)</f>
        <v>0</v>
      </c>
      <c r="H97" s="33">
        <f>ROUND('[1]RESUMO DA PROPOSTA'!$C$18*F97,2)</f>
        <v>3.02</v>
      </c>
      <c r="I97" s="56">
        <f t="shared" ref="I97:I115" si="7">ROUND(E97*H97,2)</f>
        <v>0</v>
      </c>
      <c r="J97" s="57"/>
    </row>
    <row r="98" spans="1:10" x14ac:dyDescent="0.25">
      <c r="A98" s="51" t="s">
        <v>210</v>
      </c>
      <c r="B98" s="28">
        <v>5000011402</v>
      </c>
      <c r="C98" s="42" t="s">
        <v>211</v>
      </c>
      <c r="D98" s="35" t="s">
        <v>178</v>
      </c>
      <c r="E98" s="31"/>
      <c r="F98" s="32">
        <v>82.49</v>
      </c>
      <c r="G98" s="33">
        <f t="shared" si="6"/>
        <v>0</v>
      </c>
      <c r="H98" s="33">
        <f>ROUND('[1]RESUMO DA PROPOSTA'!$C$18*F98,2)</f>
        <v>156.72999999999999</v>
      </c>
      <c r="I98" s="33">
        <f t="shared" si="7"/>
        <v>0</v>
      </c>
      <c r="J98" s="34"/>
    </row>
    <row r="99" spans="1:10" x14ac:dyDescent="0.25">
      <c r="A99" s="51" t="s">
        <v>212</v>
      </c>
      <c r="B99" s="28">
        <v>5000011143</v>
      </c>
      <c r="C99" s="42" t="s">
        <v>213</v>
      </c>
      <c r="D99" s="35" t="s">
        <v>129</v>
      </c>
      <c r="E99" s="31">
        <v>17.5</v>
      </c>
      <c r="F99" s="32">
        <v>3.24</v>
      </c>
      <c r="G99" s="33">
        <f t="shared" si="6"/>
        <v>56.7</v>
      </c>
      <c r="H99" s="33">
        <f>ROUND('[1]RESUMO DA PROPOSTA'!$C$18*F99,2)</f>
        <v>6.16</v>
      </c>
      <c r="I99" s="33">
        <f t="shared" si="7"/>
        <v>107.8</v>
      </c>
      <c r="J99" s="34"/>
    </row>
    <row r="100" spans="1:10" x14ac:dyDescent="0.25">
      <c r="A100" s="51" t="s">
        <v>214</v>
      </c>
      <c r="B100" s="28">
        <v>5000011144</v>
      </c>
      <c r="C100" s="42" t="s">
        <v>215</v>
      </c>
      <c r="D100" s="35" t="s">
        <v>129</v>
      </c>
      <c r="E100" s="31"/>
      <c r="F100" s="32">
        <v>4.25</v>
      </c>
      <c r="G100" s="33">
        <f t="shared" si="6"/>
        <v>0</v>
      </c>
      <c r="H100" s="33">
        <f>ROUND('[1]RESUMO DA PROPOSTA'!$C$18*F100,2)</f>
        <v>8.08</v>
      </c>
      <c r="I100" s="33">
        <f t="shared" si="7"/>
        <v>0</v>
      </c>
      <c r="J100" s="34"/>
    </row>
    <row r="101" spans="1:10" x14ac:dyDescent="0.25">
      <c r="A101" s="51" t="s">
        <v>216</v>
      </c>
      <c r="B101" s="28">
        <v>5000011145</v>
      </c>
      <c r="C101" s="42" t="s">
        <v>217</v>
      </c>
      <c r="D101" s="35" t="s">
        <v>129</v>
      </c>
      <c r="E101" s="31">
        <v>17.5</v>
      </c>
      <c r="F101" s="32">
        <v>11.29</v>
      </c>
      <c r="G101" s="33">
        <f t="shared" si="6"/>
        <v>197.58</v>
      </c>
      <c r="H101" s="33">
        <f>ROUND('[1]RESUMO DA PROPOSTA'!$C$18*F101,2)</f>
        <v>21.45</v>
      </c>
      <c r="I101" s="33">
        <f t="shared" si="7"/>
        <v>375.38</v>
      </c>
      <c r="J101" s="34"/>
    </row>
    <row r="102" spans="1:10" x14ac:dyDescent="0.25">
      <c r="A102" s="51" t="s">
        <v>218</v>
      </c>
      <c r="B102" s="28">
        <v>5000011403</v>
      </c>
      <c r="C102" s="42" t="s">
        <v>219</v>
      </c>
      <c r="D102" s="35" t="s">
        <v>178</v>
      </c>
      <c r="E102" s="31"/>
      <c r="F102" s="32">
        <v>286.62</v>
      </c>
      <c r="G102" s="33">
        <f t="shared" si="6"/>
        <v>0</v>
      </c>
      <c r="H102" s="33">
        <f>ROUND('[1]RESUMO DA PROPOSTA'!$C$18*F102,2)</f>
        <v>544.58000000000004</v>
      </c>
      <c r="I102" s="33">
        <f t="shared" si="7"/>
        <v>0</v>
      </c>
      <c r="J102" s="34"/>
    </row>
    <row r="103" spans="1:10" x14ac:dyDescent="0.25">
      <c r="A103" s="51" t="s">
        <v>220</v>
      </c>
      <c r="B103" s="28">
        <v>5000007396</v>
      </c>
      <c r="C103" s="42" t="s">
        <v>221</v>
      </c>
      <c r="D103" s="35" t="s">
        <v>178</v>
      </c>
      <c r="E103" s="31"/>
      <c r="F103" s="32">
        <v>107.7</v>
      </c>
      <c r="G103" s="33">
        <f t="shared" si="6"/>
        <v>0</v>
      </c>
      <c r="H103" s="33">
        <f>ROUND('[1]RESUMO DA PROPOSTA'!$C$18*F103,2)</f>
        <v>204.63</v>
      </c>
      <c r="I103" s="33">
        <f t="shared" si="7"/>
        <v>0</v>
      </c>
      <c r="J103" s="34"/>
    </row>
    <row r="104" spans="1:10" x14ac:dyDescent="0.25">
      <c r="A104" s="51" t="s">
        <v>222</v>
      </c>
      <c r="B104" s="28">
        <v>5000007631</v>
      </c>
      <c r="C104" s="42" t="s">
        <v>223</v>
      </c>
      <c r="D104" s="35" t="s">
        <v>178</v>
      </c>
      <c r="E104" s="31"/>
      <c r="F104" s="32">
        <v>5.5</v>
      </c>
      <c r="G104" s="33">
        <f t="shared" si="6"/>
        <v>0</v>
      </c>
      <c r="H104" s="33">
        <f>ROUND('[1]RESUMO DA PROPOSTA'!$C$18*F104,2)</f>
        <v>10.45</v>
      </c>
      <c r="I104" s="33">
        <f t="shared" si="7"/>
        <v>0</v>
      </c>
      <c r="J104" s="34"/>
    </row>
    <row r="105" spans="1:10" x14ac:dyDescent="0.25">
      <c r="A105" s="51" t="s">
        <v>224</v>
      </c>
      <c r="B105" s="28">
        <v>5000011146</v>
      </c>
      <c r="C105" s="42" t="s">
        <v>225</v>
      </c>
      <c r="D105" s="35" t="s">
        <v>178</v>
      </c>
      <c r="E105" s="31"/>
      <c r="F105" s="32">
        <v>71.45</v>
      </c>
      <c r="G105" s="33">
        <f t="shared" si="6"/>
        <v>0</v>
      </c>
      <c r="H105" s="33">
        <f>ROUND('[1]RESUMO DA PROPOSTA'!$C$18*F105,2)</f>
        <v>135.76</v>
      </c>
      <c r="I105" s="33">
        <f t="shared" si="7"/>
        <v>0</v>
      </c>
      <c r="J105" s="34"/>
    </row>
    <row r="106" spans="1:10" x14ac:dyDescent="0.25">
      <c r="A106" s="51" t="s">
        <v>226</v>
      </c>
      <c r="B106" s="28">
        <v>5000007397</v>
      </c>
      <c r="C106" s="42" t="s">
        <v>227</v>
      </c>
      <c r="D106" s="35" t="s">
        <v>178</v>
      </c>
      <c r="E106" s="31"/>
      <c r="F106" s="32">
        <v>9.17</v>
      </c>
      <c r="G106" s="33">
        <f t="shared" si="6"/>
        <v>0</v>
      </c>
      <c r="H106" s="33">
        <f>ROUND('[1]RESUMO DA PROPOSTA'!$C$18*F106,2)</f>
        <v>17.420000000000002</v>
      </c>
      <c r="I106" s="33">
        <f t="shared" si="7"/>
        <v>0</v>
      </c>
      <c r="J106" s="34"/>
    </row>
    <row r="107" spans="1:10" x14ac:dyDescent="0.25">
      <c r="A107" s="51" t="s">
        <v>228</v>
      </c>
      <c r="B107" s="28">
        <v>5000011147</v>
      </c>
      <c r="C107" s="42" t="s">
        <v>229</v>
      </c>
      <c r="D107" s="35" t="s">
        <v>178</v>
      </c>
      <c r="E107" s="31"/>
      <c r="F107" s="32">
        <v>39.11</v>
      </c>
      <c r="G107" s="33">
        <f t="shared" si="6"/>
        <v>0</v>
      </c>
      <c r="H107" s="33">
        <f>ROUND('[1]RESUMO DA PROPOSTA'!$C$18*F107,2)</f>
        <v>74.31</v>
      </c>
      <c r="I107" s="33">
        <f t="shared" si="7"/>
        <v>0</v>
      </c>
      <c r="J107" s="34"/>
    </row>
    <row r="108" spans="1:10" x14ac:dyDescent="0.25">
      <c r="A108" s="51" t="s">
        <v>230</v>
      </c>
      <c r="B108" s="28">
        <v>5000011148</v>
      </c>
      <c r="C108" s="42" t="s">
        <v>231</v>
      </c>
      <c r="D108" s="35" t="s">
        <v>178</v>
      </c>
      <c r="E108" s="31"/>
      <c r="F108" s="32">
        <v>125.06</v>
      </c>
      <c r="G108" s="33">
        <f t="shared" si="6"/>
        <v>0</v>
      </c>
      <c r="H108" s="33">
        <f>ROUND('[1]RESUMO DA PROPOSTA'!$C$18*F108,2)</f>
        <v>237.61</v>
      </c>
      <c r="I108" s="33">
        <f t="shared" si="7"/>
        <v>0</v>
      </c>
      <c r="J108" s="34"/>
    </row>
    <row r="109" spans="1:10" x14ac:dyDescent="0.25">
      <c r="A109" s="51" t="s">
        <v>232</v>
      </c>
      <c r="B109" s="28">
        <v>5000011149</v>
      </c>
      <c r="C109" s="42" t="s">
        <v>233</v>
      </c>
      <c r="D109" s="35" t="s">
        <v>178</v>
      </c>
      <c r="E109" s="31"/>
      <c r="F109" s="32">
        <v>54.28</v>
      </c>
      <c r="G109" s="33">
        <f t="shared" si="6"/>
        <v>0</v>
      </c>
      <c r="H109" s="33">
        <f>ROUND('[1]RESUMO DA PROPOSTA'!$C$18*F109,2)</f>
        <v>103.13</v>
      </c>
      <c r="I109" s="33">
        <f t="shared" si="7"/>
        <v>0</v>
      </c>
      <c r="J109" s="34"/>
    </row>
    <row r="110" spans="1:10" ht="38.25" x14ac:dyDescent="0.25">
      <c r="A110" s="51" t="s">
        <v>234</v>
      </c>
      <c r="B110" s="28">
        <v>5000007632</v>
      </c>
      <c r="C110" s="42" t="s">
        <v>235</v>
      </c>
      <c r="D110" s="35" t="s">
        <v>178</v>
      </c>
      <c r="E110" s="31"/>
      <c r="F110" s="32">
        <v>11.27</v>
      </c>
      <c r="G110" s="33">
        <f t="shared" si="6"/>
        <v>0</v>
      </c>
      <c r="H110" s="33">
        <f>ROUND('[1]RESUMO DA PROPOSTA'!$C$18*F110,2)</f>
        <v>21.41</v>
      </c>
      <c r="I110" s="33">
        <f t="shared" si="7"/>
        <v>0</v>
      </c>
      <c r="J110" s="34"/>
    </row>
    <row r="111" spans="1:10" x14ac:dyDescent="0.25">
      <c r="A111" s="51" t="s">
        <v>236</v>
      </c>
      <c r="B111" s="28">
        <v>5000011150</v>
      </c>
      <c r="C111" s="42" t="s">
        <v>237</v>
      </c>
      <c r="D111" s="35" t="s">
        <v>129</v>
      </c>
      <c r="E111" s="31"/>
      <c r="F111" s="32">
        <v>33.200000000000003</v>
      </c>
      <c r="G111" s="33">
        <f t="shared" si="6"/>
        <v>0</v>
      </c>
      <c r="H111" s="33">
        <f>ROUND('[1]RESUMO DA PROPOSTA'!$C$18*F111,2)</f>
        <v>63.08</v>
      </c>
      <c r="I111" s="33">
        <f t="shared" si="7"/>
        <v>0</v>
      </c>
      <c r="J111" s="34"/>
    </row>
    <row r="112" spans="1:10" x14ac:dyDescent="0.25">
      <c r="A112" s="51" t="s">
        <v>238</v>
      </c>
      <c r="B112" s="28">
        <v>5000011404</v>
      </c>
      <c r="C112" s="42" t="s">
        <v>239</v>
      </c>
      <c r="D112" s="35" t="s">
        <v>178</v>
      </c>
      <c r="E112" s="31"/>
      <c r="F112" s="32">
        <v>51.12</v>
      </c>
      <c r="G112" s="33">
        <f t="shared" si="6"/>
        <v>0</v>
      </c>
      <c r="H112" s="33">
        <f>ROUND('[1]RESUMO DA PROPOSTA'!$C$18*F112,2)</f>
        <v>97.13</v>
      </c>
      <c r="I112" s="33">
        <f t="shared" si="7"/>
        <v>0</v>
      </c>
      <c r="J112" s="34"/>
    </row>
    <row r="113" spans="1:10" x14ac:dyDescent="0.25">
      <c r="A113" s="51" t="s">
        <v>240</v>
      </c>
      <c r="B113" s="28">
        <v>5000011405</v>
      </c>
      <c r="C113" s="42" t="s">
        <v>241</v>
      </c>
      <c r="D113" s="35" t="s">
        <v>178</v>
      </c>
      <c r="E113" s="31"/>
      <c r="F113" s="32">
        <v>36.51</v>
      </c>
      <c r="G113" s="33">
        <f t="shared" si="6"/>
        <v>0</v>
      </c>
      <c r="H113" s="33">
        <f>ROUND('[1]RESUMO DA PROPOSTA'!$C$18*F113,2)</f>
        <v>69.37</v>
      </c>
      <c r="I113" s="33">
        <f t="shared" si="7"/>
        <v>0</v>
      </c>
      <c r="J113" s="34"/>
    </row>
    <row r="114" spans="1:10" x14ac:dyDescent="0.25">
      <c r="A114" s="51" t="s">
        <v>242</v>
      </c>
      <c r="B114" s="28">
        <v>5000011406</v>
      </c>
      <c r="C114" s="42" t="s">
        <v>243</v>
      </c>
      <c r="D114" s="35" t="s">
        <v>178</v>
      </c>
      <c r="E114" s="31"/>
      <c r="F114" s="32">
        <v>7.51</v>
      </c>
      <c r="G114" s="33">
        <f t="shared" si="6"/>
        <v>0</v>
      </c>
      <c r="H114" s="33">
        <f>ROUND('[1]RESUMO DA PROPOSTA'!$C$18*F114,2)</f>
        <v>14.27</v>
      </c>
      <c r="I114" s="33">
        <f t="shared" si="7"/>
        <v>0</v>
      </c>
      <c r="J114" s="34"/>
    </row>
    <row r="115" spans="1:10" x14ac:dyDescent="0.25">
      <c r="A115" s="51" t="s">
        <v>244</v>
      </c>
      <c r="B115" s="28">
        <v>5000011407</v>
      </c>
      <c r="C115" s="42" t="s">
        <v>245</v>
      </c>
      <c r="D115" s="35" t="s">
        <v>129</v>
      </c>
      <c r="E115" s="31"/>
      <c r="F115" s="32">
        <v>2.4700000000000002</v>
      </c>
      <c r="G115" s="33">
        <f t="shared" si="6"/>
        <v>0</v>
      </c>
      <c r="H115" s="33">
        <f>ROUND('[1]RESUMO DA PROPOSTA'!$C$18*F115,2)</f>
        <v>4.6900000000000004</v>
      </c>
      <c r="I115" s="33">
        <f t="shared" si="7"/>
        <v>0</v>
      </c>
      <c r="J115" s="34"/>
    </row>
    <row r="116" spans="1:10" ht="15.75" x14ac:dyDescent="0.25">
      <c r="A116" s="43" t="s">
        <v>246</v>
      </c>
      <c r="B116" s="44"/>
      <c r="C116" s="45" t="s">
        <v>247</v>
      </c>
      <c r="D116" s="46"/>
      <c r="E116" s="47"/>
      <c r="F116" s="48" t="s">
        <v>17</v>
      </c>
      <c r="G116" s="49">
        <f>SUBTOTAL(9,G117:G147)</f>
        <v>5752.64</v>
      </c>
      <c r="H116" s="48" t="s">
        <v>17</v>
      </c>
      <c r="I116" s="49">
        <f>SUBTOTAL(9,I117:I147)</f>
        <v>10930.02</v>
      </c>
      <c r="J116" s="50"/>
    </row>
    <row r="117" spans="1:10" x14ac:dyDescent="0.25">
      <c r="A117" s="58" t="s">
        <v>248</v>
      </c>
      <c r="B117" s="28">
        <v>5000007682</v>
      </c>
      <c r="C117" s="42" t="s">
        <v>249</v>
      </c>
      <c r="D117" s="35" t="s">
        <v>178</v>
      </c>
      <c r="E117" s="31"/>
      <c r="F117" s="59">
        <v>3033.09</v>
      </c>
      <c r="G117" s="60">
        <f t="shared" ref="G117:G147" si="8">ROUND(E117*F117,2)</f>
        <v>0</v>
      </c>
      <c r="H117" s="60">
        <f>ROUND('[1]RESUMO DA PROPOSTA'!$C$18*F117,2)</f>
        <v>5762.87</v>
      </c>
      <c r="I117" s="60">
        <f t="shared" ref="I117:I147" si="9">ROUND(E117*H117,2)</f>
        <v>0</v>
      </c>
      <c r="J117" s="61"/>
    </row>
    <row r="118" spans="1:10" x14ac:dyDescent="0.25">
      <c r="A118" s="58" t="s">
        <v>250</v>
      </c>
      <c r="B118" s="28">
        <v>5000007682</v>
      </c>
      <c r="C118" s="42" t="s">
        <v>251</v>
      </c>
      <c r="D118" s="35" t="s">
        <v>178</v>
      </c>
      <c r="E118" s="31"/>
      <c r="F118" s="32">
        <v>3033.09</v>
      </c>
      <c r="G118" s="33">
        <f t="shared" si="8"/>
        <v>0</v>
      </c>
      <c r="H118" s="33">
        <f>ROUND('[1]RESUMO DA PROPOSTA'!$C$18*F118,2)</f>
        <v>5762.87</v>
      </c>
      <c r="I118" s="33">
        <f t="shared" si="9"/>
        <v>0</v>
      </c>
      <c r="J118" s="34"/>
    </row>
    <row r="119" spans="1:10" x14ac:dyDescent="0.25">
      <c r="A119" s="58" t="s">
        <v>252</v>
      </c>
      <c r="B119" s="28">
        <v>5000011408</v>
      </c>
      <c r="C119" s="42" t="s">
        <v>253</v>
      </c>
      <c r="D119" s="35" t="s">
        <v>254</v>
      </c>
      <c r="E119" s="31"/>
      <c r="F119" s="32">
        <v>50004.76</v>
      </c>
      <c r="G119" s="33">
        <f t="shared" si="8"/>
        <v>0</v>
      </c>
      <c r="H119" s="33">
        <f>ROUND('[1]RESUMO DA PROPOSTA'!$C$18*F119,2)</f>
        <v>95009.04</v>
      </c>
      <c r="I119" s="33">
        <f t="shared" si="9"/>
        <v>0</v>
      </c>
      <c r="J119" s="34"/>
    </row>
    <row r="120" spans="1:10" x14ac:dyDescent="0.25">
      <c r="A120" s="58" t="s">
        <v>255</v>
      </c>
      <c r="B120" s="28">
        <v>5000011409</v>
      </c>
      <c r="C120" s="42" t="s">
        <v>256</v>
      </c>
      <c r="D120" s="35" t="s">
        <v>254</v>
      </c>
      <c r="E120" s="31"/>
      <c r="F120" s="32">
        <v>35860.6</v>
      </c>
      <c r="G120" s="33">
        <f t="shared" si="8"/>
        <v>0</v>
      </c>
      <c r="H120" s="33">
        <f>ROUND('[1]RESUMO DA PROPOSTA'!$C$18*F120,2)</f>
        <v>68135.14</v>
      </c>
      <c r="I120" s="33">
        <f t="shared" si="9"/>
        <v>0</v>
      </c>
      <c r="J120" s="34"/>
    </row>
    <row r="121" spans="1:10" x14ac:dyDescent="0.25">
      <c r="A121" s="58" t="s">
        <v>257</v>
      </c>
      <c r="B121" s="28">
        <v>3000018249</v>
      </c>
      <c r="C121" s="42" t="s">
        <v>258</v>
      </c>
      <c r="D121" s="35" t="s">
        <v>29</v>
      </c>
      <c r="E121" s="31">
        <v>2</v>
      </c>
      <c r="F121" s="32">
        <v>2876.32</v>
      </c>
      <c r="G121" s="33">
        <f t="shared" si="8"/>
        <v>5752.64</v>
      </c>
      <c r="H121" s="33">
        <f>ROUND('[1]RESUMO DA PROPOSTA'!$C$18*F121,2)</f>
        <v>5465.01</v>
      </c>
      <c r="I121" s="33">
        <f t="shared" si="9"/>
        <v>10930.02</v>
      </c>
      <c r="J121" s="34"/>
    </row>
    <row r="122" spans="1:10" x14ac:dyDescent="0.25">
      <c r="A122" s="58" t="s">
        <v>259</v>
      </c>
      <c r="B122" s="28">
        <v>5000009008</v>
      </c>
      <c r="C122" s="42" t="s">
        <v>260</v>
      </c>
      <c r="D122" s="35" t="s">
        <v>29</v>
      </c>
      <c r="E122" s="31"/>
      <c r="F122" s="32">
        <v>2887.15</v>
      </c>
      <c r="G122" s="33">
        <f t="shared" si="8"/>
        <v>0</v>
      </c>
      <c r="H122" s="33">
        <f>ROUND('[1]RESUMO DA PROPOSTA'!$C$18*F122,2)</f>
        <v>5485.59</v>
      </c>
      <c r="I122" s="33">
        <f t="shared" si="9"/>
        <v>0</v>
      </c>
      <c r="J122" s="34"/>
    </row>
    <row r="123" spans="1:10" x14ac:dyDescent="0.25">
      <c r="A123" s="58" t="s">
        <v>261</v>
      </c>
      <c r="B123" s="28">
        <v>3000018815</v>
      </c>
      <c r="C123" s="42" t="s">
        <v>262</v>
      </c>
      <c r="D123" s="35" t="s">
        <v>29</v>
      </c>
      <c r="E123" s="31"/>
      <c r="F123" s="32">
        <v>3690.17</v>
      </c>
      <c r="G123" s="33">
        <f t="shared" si="8"/>
        <v>0</v>
      </c>
      <c r="H123" s="33">
        <f>ROUND('[1]RESUMO DA PROPOSTA'!$C$18*F123,2)</f>
        <v>7011.32</v>
      </c>
      <c r="I123" s="33">
        <f t="shared" si="9"/>
        <v>0</v>
      </c>
      <c r="J123" s="34"/>
    </row>
    <row r="124" spans="1:10" x14ac:dyDescent="0.25">
      <c r="A124" s="58" t="s">
        <v>263</v>
      </c>
      <c r="B124" s="28">
        <v>3000018709</v>
      </c>
      <c r="C124" s="42" t="s">
        <v>264</v>
      </c>
      <c r="D124" s="35" t="s">
        <v>29</v>
      </c>
      <c r="E124" s="31"/>
      <c r="F124" s="32">
        <v>652.86</v>
      </c>
      <c r="G124" s="33">
        <f t="shared" si="8"/>
        <v>0</v>
      </c>
      <c r="H124" s="33">
        <f>ROUND('[1]RESUMO DA PROPOSTA'!$C$18*F124,2)</f>
        <v>1240.43</v>
      </c>
      <c r="I124" s="33">
        <f t="shared" si="9"/>
        <v>0</v>
      </c>
      <c r="J124" s="34"/>
    </row>
    <row r="125" spans="1:10" x14ac:dyDescent="0.25">
      <c r="A125" s="58" t="s">
        <v>265</v>
      </c>
      <c r="B125" s="28">
        <v>5000006788</v>
      </c>
      <c r="C125" s="42" t="s">
        <v>266</v>
      </c>
      <c r="D125" s="35" t="s">
        <v>29</v>
      </c>
      <c r="E125" s="31"/>
      <c r="F125" s="32">
        <v>1668.95</v>
      </c>
      <c r="G125" s="33">
        <f t="shared" si="8"/>
        <v>0</v>
      </c>
      <c r="H125" s="33">
        <f>ROUND('[1]RESUMO DA PROPOSTA'!$C$18*F125,2)</f>
        <v>3171.01</v>
      </c>
      <c r="I125" s="33">
        <f t="shared" si="9"/>
        <v>0</v>
      </c>
      <c r="J125" s="34"/>
    </row>
    <row r="126" spans="1:10" x14ac:dyDescent="0.25">
      <c r="A126" s="58" t="s">
        <v>267</v>
      </c>
      <c r="B126" s="28">
        <v>5000011410</v>
      </c>
      <c r="C126" s="42" t="s">
        <v>268</v>
      </c>
      <c r="D126" s="35" t="s">
        <v>29</v>
      </c>
      <c r="E126" s="31"/>
      <c r="F126" s="32">
        <v>4713.59</v>
      </c>
      <c r="G126" s="33">
        <f t="shared" si="8"/>
        <v>0</v>
      </c>
      <c r="H126" s="33">
        <f>ROUND('[1]RESUMO DA PROPOSTA'!$C$18*F126,2)</f>
        <v>8955.82</v>
      </c>
      <c r="I126" s="33">
        <f t="shared" si="9"/>
        <v>0</v>
      </c>
      <c r="J126" s="34"/>
    </row>
    <row r="127" spans="1:10" x14ac:dyDescent="0.25">
      <c r="A127" s="58" t="s">
        <v>269</v>
      </c>
      <c r="B127" s="28">
        <v>3000015803</v>
      </c>
      <c r="C127" s="42" t="s">
        <v>270</v>
      </c>
      <c r="D127" s="35" t="s">
        <v>29</v>
      </c>
      <c r="E127" s="31"/>
      <c r="F127" s="32">
        <v>3702.34</v>
      </c>
      <c r="G127" s="33">
        <f t="shared" si="8"/>
        <v>0</v>
      </c>
      <c r="H127" s="33">
        <f>ROUND('[1]RESUMO DA PROPOSTA'!$C$18*F127,2)</f>
        <v>7034.45</v>
      </c>
      <c r="I127" s="33">
        <f t="shared" si="9"/>
        <v>0</v>
      </c>
      <c r="J127" s="34"/>
    </row>
    <row r="128" spans="1:10" x14ac:dyDescent="0.25">
      <c r="A128" s="58" t="s">
        <v>271</v>
      </c>
      <c r="B128" s="28">
        <v>3000018810</v>
      </c>
      <c r="C128" s="42" t="s">
        <v>272</v>
      </c>
      <c r="D128" s="35" t="s">
        <v>29</v>
      </c>
      <c r="E128" s="31"/>
      <c r="F128" s="32">
        <v>4688.3500000000004</v>
      </c>
      <c r="G128" s="33">
        <f t="shared" si="8"/>
        <v>0</v>
      </c>
      <c r="H128" s="33">
        <f>ROUND('[1]RESUMO DA PROPOSTA'!$C$18*F128,2)</f>
        <v>8907.8700000000008</v>
      </c>
      <c r="I128" s="33">
        <f t="shared" si="9"/>
        <v>0</v>
      </c>
      <c r="J128" s="34"/>
    </row>
    <row r="129" spans="1:10" x14ac:dyDescent="0.25">
      <c r="A129" s="58" t="s">
        <v>273</v>
      </c>
      <c r="B129" s="28">
        <v>5000011411</v>
      </c>
      <c r="C129" s="42" t="s">
        <v>274</v>
      </c>
      <c r="D129" s="35" t="s">
        <v>29</v>
      </c>
      <c r="E129" s="31"/>
      <c r="F129" s="32">
        <v>4122.5</v>
      </c>
      <c r="G129" s="33">
        <f t="shared" si="8"/>
        <v>0</v>
      </c>
      <c r="H129" s="33">
        <f>ROUND('[1]RESUMO DA PROPOSTA'!$C$18*F129,2)</f>
        <v>7832.75</v>
      </c>
      <c r="I129" s="33">
        <f t="shared" si="9"/>
        <v>0</v>
      </c>
      <c r="J129" s="34"/>
    </row>
    <row r="130" spans="1:10" x14ac:dyDescent="0.25">
      <c r="A130" s="58" t="s">
        <v>275</v>
      </c>
      <c r="B130" s="28">
        <v>5000011412</v>
      </c>
      <c r="C130" s="42" t="s">
        <v>276</v>
      </c>
      <c r="D130" s="35" t="s">
        <v>29</v>
      </c>
      <c r="E130" s="31"/>
      <c r="F130" s="32">
        <v>6897.52</v>
      </c>
      <c r="G130" s="33">
        <f t="shared" si="8"/>
        <v>0</v>
      </c>
      <c r="H130" s="33">
        <f>ROUND('[1]RESUMO DA PROPOSTA'!$C$18*F130,2)</f>
        <v>13105.29</v>
      </c>
      <c r="I130" s="33">
        <f t="shared" si="9"/>
        <v>0</v>
      </c>
      <c r="J130" s="34"/>
    </row>
    <row r="131" spans="1:10" x14ac:dyDescent="0.25">
      <c r="A131" s="58" t="s">
        <v>277</v>
      </c>
      <c r="B131" s="28">
        <v>5000011151</v>
      </c>
      <c r="C131" s="42" t="s">
        <v>278</v>
      </c>
      <c r="D131" s="35" t="s">
        <v>29</v>
      </c>
      <c r="E131" s="31"/>
      <c r="F131" s="32">
        <v>3506.31</v>
      </c>
      <c r="G131" s="33">
        <f t="shared" si="8"/>
        <v>0</v>
      </c>
      <c r="H131" s="33">
        <f>ROUND('[1]RESUMO DA PROPOSTA'!$C$18*F131,2)</f>
        <v>6661.99</v>
      </c>
      <c r="I131" s="33">
        <f t="shared" si="9"/>
        <v>0</v>
      </c>
      <c r="J131" s="34"/>
    </row>
    <row r="132" spans="1:10" x14ac:dyDescent="0.25">
      <c r="A132" s="58" t="s">
        <v>279</v>
      </c>
      <c r="B132" s="28">
        <v>5000011413</v>
      </c>
      <c r="C132" s="42" t="s">
        <v>280</v>
      </c>
      <c r="D132" s="35" t="s">
        <v>29</v>
      </c>
      <c r="E132" s="31"/>
      <c r="F132" s="32">
        <v>265</v>
      </c>
      <c r="G132" s="33">
        <f t="shared" si="8"/>
        <v>0</v>
      </c>
      <c r="H132" s="33">
        <f>ROUND('[1]RESUMO DA PROPOSTA'!$C$18*F132,2)</f>
        <v>503.5</v>
      </c>
      <c r="I132" s="33">
        <f t="shared" si="9"/>
        <v>0</v>
      </c>
      <c r="J132" s="34"/>
    </row>
    <row r="133" spans="1:10" x14ac:dyDescent="0.25">
      <c r="A133" s="58" t="s">
        <v>281</v>
      </c>
      <c r="B133" s="28">
        <v>5000011414</v>
      </c>
      <c r="C133" s="42" t="s">
        <v>282</v>
      </c>
      <c r="D133" s="35" t="s">
        <v>29</v>
      </c>
      <c r="E133" s="31"/>
      <c r="F133" s="32">
        <v>2007.82</v>
      </c>
      <c r="G133" s="33">
        <f t="shared" si="8"/>
        <v>0</v>
      </c>
      <c r="H133" s="33">
        <f>ROUND('[1]RESUMO DA PROPOSTA'!$C$18*F133,2)</f>
        <v>3814.86</v>
      </c>
      <c r="I133" s="33">
        <f t="shared" si="9"/>
        <v>0</v>
      </c>
      <c r="J133" s="34"/>
    </row>
    <row r="134" spans="1:10" x14ac:dyDescent="0.25">
      <c r="A134" s="58" t="s">
        <v>283</v>
      </c>
      <c r="B134" s="28">
        <v>5000011415</v>
      </c>
      <c r="C134" s="42" t="s">
        <v>284</v>
      </c>
      <c r="D134" s="35" t="s">
        <v>29</v>
      </c>
      <c r="E134" s="31"/>
      <c r="F134" s="32">
        <v>1472.49</v>
      </c>
      <c r="G134" s="33">
        <f t="shared" si="8"/>
        <v>0</v>
      </c>
      <c r="H134" s="33">
        <f>ROUND('[1]RESUMO DA PROPOSTA'!$C$18*F134,2)</f>
        <v>2797.73</v>
      </c>
      <c r="I134" s="33">
        <f t="shared" si="9"/>
        <v>0</v>
      </c>
      <c r="J134" s="34"/>
    </row>
    <row r="135" spans="1:10" x14ac:dyDescent="0.25">
      <c r="A135" s="58" t="s">
        <v>285</v>
      </c>
      <c r="B135" s="28">
        <v>5000011416</v>
      </c>
      <c r="C135" s="42" t="s">
        <v>286</v>
      </c>
      <c r="D135" s="35" t="s">
        <v>29</v>
      </c>
      <c r="E135" s="31"/>
      <c r="F135" s="32">
        <v>2705.72</v>
      </c>
      <c r="G135" s="33">
        <f t="shared" si="8"/>
        <v>0</v>
      </c>
      <c r="H135" s="33">
        <f>ROUND('[1]RESUMO DA PROPOSTA'!$C$18*F135,2)</f>
        <v>5140.87</v>
      </c>
      <c r="I135" s="33">
        <f t="shared" si="9"/>
        <v>0</v>
      </c>
      <c r="J135" s="34"/>
    </row>
    <row r="136" spans="1:10" x14ac:dyDescent="0.25">
      <c r="A136" s="58" t="s">
        <v>287</v>
      </c>
      <c r="B136" s="28">
        <v>5000011417</v>
      </c>
      <c r="C136" s="42" t="s">
        <v>288</v>
      </c>
      <c r="D136" s="35" t="s">
        <v>29</v>
      </c>
      <c r="E136" s="31"/>
      <c r="F136" s="32">
        <v>830.25</v>
      </c>
      <c r="G136" s="33">
        <f t="shared" si="8"/>
        <v>0</v>
      </c>
      <c r="H136" s="33">
        <f>ROUND('[1]RESUMO DA PROPOSTA'!$C$18*F136,2)</f>
        <v>1577.48</v>
      </c>
      <c r="I136" s="33">
        <f t="shared" si="9"/>
        <v>0</v>
      </c>
      <c r="J136" s="34"/>
    </row>
    <row r="137" spans="1:10" x14ac:dyDescent="0.25">
      <c r="A137" s="58" t="s">
        <v>289</v>
      </c>
      <c r="B137" s="28">
        <v>3000018693</v>
      </c>
      <c r="C137" s="42" t="s">
        <v>290</v>
      </c>
      <c r="D137" s="35" t="s">
        <v>29</v>
      </c>
      <c r="E137" s="31"/>
      <c r="F137" s="32">
        <v>1903.77</v>
      </c>
      <c r="G137" s="33">
        <f t="shared" si="8"/>
        <v>0</v>
      </c>
      <c r="H137" s="33">
        <f>ROUND('[1]RESUMO DA PROPOSTA'!$C$18*F137,2)</f>
        <v>3617.16</v>
      </c>
      <c r="I137" s="33">
        <f t="shared" si="9"/>
        <v>0</v>
      </c>
      <c r="J137" s="34"/>
    </row>
    <row r="138" spans="1:10" x14ac:dyDescent="0.25">
      <c r="A138" s="58" t="s">
        <v>291</v>
      </c>
      <c r="B138" s="28">
        <v>3000018734</v>
      </c>
      <c r="C138" s="42" t="s">
        <v>292</v>
      </c>
      <c r="D138" s="35" t="s">
        <v>29</v>
      </c>
      <c r="E138" s="31"/>
      <c r="F138" s="32">
        <v>2056.85</v>
      </c>
      <c r="G138" s="33">
        <f t="shared" si="8"/>
        <v>0</v>
      </c>
      <c r="H138" s="33">
        <f>ROUND('[1]RESUMO DA PROPOSTA'!$C$18*F138,2)</f>
        <v>3908.02</v>
      </c>
      <c r="I138" s="33">
        <f t="shared" si="9"/>
        <v>0</v>
      </c>
      <c r="J138" s="34"/>
    </row>
    <row r="139" spans="1:10" x14ac:dyDescent="0.25">
      <c r="A139" s="58" t="s">
        <v>293</v>
      </c>
      <c r="B139" s="28">
        <v>3000018688</v>
      </c>
      <c r="C139" s="42" t="s">
        <v>294</v>
      </c>
      <c r="D139" s="35" t="s">
        <v>29</v>
      </c>
      <c r="E139" s="31"/>
      <c r="F139" s="32">
        <v>3575.45</v>
      </c>
      <c r="G139" s="33">
        <f t="shared" si="8"/>
        <v>0</v>
      </c>
      <c r="H139" s="33">
        <f>ROUND('[1]RESUMO DA PROPOSTA'!$C$18*F139,2)</f>
        <v>6793.36</v>
      </c>
      <c r="I139" s="33">
        <f t="shared" si="9"/>
        <v>0</v>
      </c>
      <c r="J139" s="34"/>
    </row>
    <row r="140" spans="1:10" ht="25.5" x14ac:dyDescent="0.25">
      <c r="A140" s="58" t="s">
        <v>295</v>
      </c>
      <c r="B140" s="28">
        <v>3000018239</v>
      </c>
      <c r="C140" s="42" t="s">
        <v>296</v>
      </c>
      <c r="D140" s="35" t="s">
        <v>29</v>
      </c>
      <c r="E140" s="31"/>
      <c r="F140" s="32">
        <v>2751.71</v>
      </c>
      <c r="G140" s="33">
        <f t="shared" si="8"/>
        <v>0</v>
      </c>
      <c r="H140" s="33">
        <f>ROUND('[1]RESUMO DA PROPOSTA'!$C$18*F140,2)</f>
        <v>5228.25</v>
      </c>
      <c r="I140" s="33">
        <f t="shared" si="9"/>
        <v>0</v>
      </c>
      <c r="J140" s="34"/>
    </row>
    <row r="141" spans="1:10" ht="25.5" x14ac:dyDescent="0.25">
      <c r="A141" s="58" t="s">
        <v>297</v>
      </c>
      <c r="B141" s="28">
        <v>3000018239</v>
      </c>
      <c r="C141" s="42" t="s">
        <v>298</v>
      </c>
      <c r="D141" s="35" t="s">
        <v>29</v>
      </c>
      <c r="E141" s="31"/>
      <c r="F141" s="32">
        <v>2751.71</v>
      </c>
      <c r="G141" s="33">
        <f t="shared" si="8"/>
        <v>0</v>
      </c>
      <c r="H141" s="33">
        <f>ROUND('[1]RESUMO DA PROPOSTA'!$C$18*F141,2)</f>
        <v>5228.25</v>
      </c>
      <c r="I141" s="33">
        <f t="shared" si="9"/>
        <v>0</v>
      </c>
      <c r="J141" s="34"/>
    </row>
    <row r="142" spans="1:10" ht="25.5" x14ac:dyDescent="0.25">
      <c r="A142" s="58" t="s">
        <v>299</v>
      </c>
      <c r="B142" s="28">
        <v>3000018704</v>
      </c>
      <c r="C142" s="42" t="s">
        <v>300</v>
      </c>
      <c r="D142" s="35" t="s">
        <v>29</v>
      </c>
      <c r="E142" s="31"/>
      <c r="F142" s="32">
        <v>3161.04</v>
      </c>
      <c r="G142" s="33">
        <f t="shared" si="8"/>
        <v>0</v>
      </c>
      <c r="H142" s="33">
        <f>ROUND('[1]RESUMO DA PROPOSTA'!$C$18*F142,2)</f>
        <v>6005.98</v>
      </c>
      <c r="I142" s="33">
        <f t="shared" si="9"/>
        <v>0</v>
      </c>
      <c r="J142" s="34"/>
    </row>
    <row r="143" spans="1:10" x14ac:dyDescent="0.25">
      <c r="A143" s="58" t="s">
        <v>301</v>
      </c>
      <c r="B143" s="28">
        <v>3000018724</v>
      </c>
      <c r="C143" s="42" t="s">
        <v>302</v>
      </c>
      <c r="D143" s="35" t="s">
        <v>29</v>
      </c>
      <c r="E143" s="31"/>
      <c r="F143" s="32">
        <v>4496.8900000000003</v>
      </c>
      <c r="G143" s="33">
        <f t="shared" si="8"/>
        <v>0</v>
      </c>
      <c r="H143" s="33">
        <f>ROUND('[1]RESUMO DA PROPOSTA'!$C$18*F143,2)</f>
        <v>8544.09</v>
      </c>
      <c r="I143" s="33">
        <f t="shared" si="9"/>
        <v>0</v>
      </c>
      <c r="J143" s="34"/>
    </row>
    <row r="144" spans="1:10" x14ac:dyDescent="0.25">
      <c r="A144" s="58" t="s">
        <v>303</v>
      </c>
      <c r="B144" s="28">
        <v>5000011418</v>
      </c>
      <c r="C144" s="29" t="s">
        <v>304</v>
      </c>
      <c r="D144" s="35" t="s">
        <v>29</v>
      </c>
      <c r="E144" s="31"/>
      <c r="F144" s="32">
        <v>2232.09</v>
      </c>
      <c r="G144" s="33">
        <f t="shared" si="8"/>
        <v>0</v>
      </c>
      <c r="H144" s="33">
        <f>ROUND('[1]RESUMO DA PROPOSTA'!$C$18*F144,2)</f>
        <v>4240.97</v>
      </c>
      <c r="I144" s="33">
        <f t="shared" si="9"/>
        <v>0</v>
      </c>
      <c r="J144" s="34"/>
    </row>
    <row r="145" spans="1:10" x14ac:dyDescent="0.25">
      <c r="A145" s="58" t="s">
        <v>305</v>
      </c>
      <c r="B145" s="28">
        <v>5000011419</v>
      </c>
      <c r="C145" s="42" t="s">
        <v>306</v>
      </c>
      <c r="D145" s="35" t="s">
        <v>29</v>
      </c>
      <c r="E145" s="31"/>
      <c r="F145" s="32">
        <v>3331.6900000000005</v>
      </c>
      <c r="G145" s="33">
        <f t="shared" si="8"/>
        <v>0</v>
      </c>
      <c r="H145" s="33">
        <f>ROUND('[1]RESUMO DA PROPOSTA'!$C$18*F145,2)</f>
        <v>6330.21</v>
      </c>
      <c r="I145" s="60">
        <f t="shared" si="9"/>
        <v>0</v>
      </c>
      <c r="J145" s="34"/>
    </row>
    <row r="146" spans="1:10" x14ac:dyDescent="0.25">
      <c r="A146" s="58" t="s">
        <v>307</v>
      </c>
      <c r="B146" s="28">
        <v>5000011420</v>
      </c>
      <c r="C146" s="42" t="s">
        <v>308</v>
      </c>
      <c r="D146" s="35" t="s">
        <v>29</v>
      </c>
      <c r="E146" s="31"/>
      <c r="F146" s="32">
        <v>1999.78</v>
      </c>
      <c r="G146" s="33">
        <f t="shared" si="8"/>
        <v>0</v>
      </c>
      <c r="H146" s="33">
        <f>ROUND('[1]RESUMO DA PROPOSTA'!$C$18*F146,2)</f>
        <v>3799.58</v>
      </c>
      <c r="I146" s="60">
        <f t="shared" si="9"/>
        <v>0</v>
      </c>
      <c r="J146" s="34"/>
    </row>
    <row r="147" spans="1:10" x14ac:dyDescent="0.25">
      <c r="A147" s="58" t="s">
        <v>309</v>
      </c>
      <c r="B147" s="28">
        <v>5000011421</v>
      </c>
      <c r="C147" s="42" t="s">
        <v>310</v>
      </c>
      <c r="D147" s="35" t="s">
        <v>29</v>
      </c>
      <c r="E147" s="31"/>
      <c r="F147" s="32">
        <v>2206.46</v>
      </c>
      <c r="G147" s="33">
        <f t="shared" si="8"/>
        <v>0</v>
      </c>
      <c r="H147" s="33">
        <f>ROUND('[1]RESUMO DA PROPOSTA'!$C$18*F147,2)</f>
        <v>4192.2700000000004</v>
      </c>
      <c r="I147" s="60">
        <f t="shared" si="9"/>
        <v>0</v>
      </c>
      <c r="J147" s="34"/>
    </row>
    <row r="148" spans="1:10" ht="15.75" x14ac:dyDescent="0.25">
      <c r="A148" s="43" t="s">
        <v>311</v>
      </c>
      <c r="B148" s="44"/>
      <c r="C148" s="45" t="s">
        <v>312</v>
      </c>
      <c r="D148" s="46"/>
      <c r="E148" s="47"/>
      <c r="F148" s="48" t="s">
        <v>17</v>
      </c>
      <c r="G148" s="49">
        <f>SUBTOTAL(9,G149:G178)</f>
        <v>0</v>
      </c>
      <c r="H148" s="48" t="s">
        <v>17</v>
      </c>
      <c r="I148" s="49">
        <f>SUBTOTAL(9,I149:I178)</f>
        <v>0</v>
      </c>
      <c r="J148" s="50"/>
    </row>
    <row r="149" spans="1:10" x14ac:dyDescent="0.25">
      <c r="A149" s="41" t="s">
        <v>313</v>
      </c>
      <c r="B149" s="28">
        <v>5000011152</v>
      </c>
      <c r="C149" s="42" t="s">
        <v>314</v>
      </c>
      <c r="D149" s="35" t="s">
        <v>120</v>
      </c>
      <c r="E149" s="31"/>
      <c r="F149" s="32">
        <v>2636.21</v>
      </c>
      <c r="G149" s="33">
        <f t="shared" ref="G149:G178" si="10">ROUND(E149*F149,2)</f>
        <v>0</v>
      </c>
      <c r="H149" s="33">
        <f>ROUND('[1]RESUMO DA PROPOSTA'!$C$18*F149,2)</f>
        <v>5008.8</v>
      </c>
      <c r="I149" s="33">
        <f t="shared" ref="I149:I178" si="11">ROUND(E149*H149,2)</f>
        <v>0</v>
      </c>
      <c r="J149" s="34"/>
    </row>
    <row r="150" spans="1:10" x14ac:dyDescent="0.25">
      <c r="A150" s="41" t="s">
        <v>315</v>
      </c>
      <c r="B150" s="28">
        <v>5000011422</v>
      </c>
      <c r="C150" s="42" t="s">
        <v>316</v>
      </c>
      <c r="D150" s="35" t="s">
        <v>29</v>
      </c>
      <c r="E150" s="31"/>
      <c r="F150" s="32">
        <v>17589.59</v>
      </c>
      <c r="G150" s="33">
        <f t="shared" si="10"/>
        <v>0</v>
      </c>
      <c r="H150" s="33">
        <f>ROUND('[1]RESUMO DA PROPOSTA'!$C$18*F150,2)</f>
        <v>33420.22</v>
      </c>
      <c r="I150" s="33">
        <f t="shared" si="11"/>
        <v>0</v>
      </c>
      <c r="J150" s="34"/>
    </row>
    <row r="151" spans="1:10" x14ac:dyDescent="0.25">
      <c r="A151" s="41" t="s">
        <v>317</v>
      </c>
      <c r="B151" s="28">
        <v>5000011153</v>
      </c>
      <c r="C151" s="42" t="s">
        <v>318</v>
      </c>
      <c r="D151" s="35" t="s">
        <v>29</v>
      </c>
      <c r="E151" s="31"/>
      <c r="F151" s="32">
        <v>348.13</v>
      </c>
      <c r="G151" s="33">
        <f t="shared" si="10"/>
        <v>0</v>
      </c>
      <c r="H151" s="33">
        <f>ROUND('[1]RESUMO DA PROPOSTA'!$C$18*F151,2)</f>
        <v>661.45</v>
      </c>
      <c r="I151" s="33">
        <f t="shared" si="11"/>
        <v>0</v>
      </c>
      <c r="J151" s="34"/>
    </row>
    <row r="152" spans="1:10" x14ac:dyDescent="0.25">
      <c r="A152" s="41" t="s">
        <v>319</v>
      </c>
      <c r="B152" s="28">
        <v>3000018249</v>
      </c>
      <c r="C152" s="42" t="s">
        <v>258</v>
      </c>
      <c r="D152" s="35" t="s">
        <v>29</v>
      </c>
      <c r="E152" s="31"/>
      <c r="F152" s="32">
        <v>2876.32</v>
      </c>
      <c r="G152" s="33">
        <f t="shared" si="10"/>
        <v>0</v>
      </c>
      <c r="H152" s="33">
        <f>ROUND('[1]RESUMO DA PROPOSTA'!$C$18*F152,2)</f>
        <v>5465.01</v>
      </c>
      <c r="I152" s="33">
        <f t="shared" si="11"/>
        <v>0</v>
      </c>
      <c r="J152" s="34"/>
    </row>
    <row r="153" spans="1:10" x14ac:dyDescent="0.25">
      <c r="A153" s="41" t="s">
        <v>320</v>
      </c>
      <c r="B153" s="28">
        <v>5000009008</v>
      </c>
      <c r="C153" s="42" t="s">
        <v>260</v>
      </c>
      <c r="D153" s="35" t="s">
        <v>29</v>
      </c>
      <c r="E153" s="31"/>
      <c r="F153" s="32">
        <v>2887.15</v>
      </c>
      <c r="G153" s="33">
        <f t="shared" si="10"/>
        <v>0</v>
      </c>
      <c r="H153" s="33">
        <f>ROUND('[1]RESUMO DA PROPOSTA'!$C$18*F153,2)</f>
        <v>5485.59</v>
      </c>
      <c r="I153" s="33">
        <f t="shared" si="11"/>
        <v>0</v>
      </c>
      <c r="J153" s="34"/>
    </row>
    <row r="154" spans="1:10" x14ac:dyDescent="0.25">
      <c r="A154" s="41" t="s">
        <v>321</v>
      </c>
      <c r="B154" s="28">
        <v>3000018815</v>
      </c>
      <c r="C154" s="42" t="s">
        <v>262</v>
      </c>
      <c r="D154" s="35" t="s">
        <v>29</v>
      </c>
      <c r="E154" s="31"/>
      <c r="F154" s="32">
        <v>3690.17</v>
      </c>
      <c r="G154" s="33">
        <f t="shared" si="10"/>
        <v>0</v>
      </c>
      <c r="H154" s="33">
        <f>ROUND('[1]RESUMO DA PROPOSTA'!$C$18*F154,2)</f>
        <v>7011.32</v>
      </c>
      <c r="I154" s="33">
        <f t="shared" si="11"/>
        <v>0</v>
      </c>
      <c r="J154" s="34"/>
    </row>
    <row r="155" spans="1:10" x14ac:dyDescent="0.25">
      <c r="A155" s="41" t="s">
        <v>322</v>
      </c>
      <c r="B155" s="28">
        <v>3000018709</v>
      </c>
      <c r="C155" s="42" t="s">
        <v>264</v>
      </c>
      <c r="D155" s="35" t="s">
        <v>29</v>
      </c>
      <c r="E155" s="31"/>
      <c r="F155" s="32">
        <v>652.86</v>
      </c>
      <c r="G155" s="33">
        <f t="shared" si="10"/>
        <v>0</v>
      </c>
      <c r="H155" s="33">
        <f>ROUND('[1]RESUMO DA PROPOSTA'!$C$18*F155,2)</f>
        <v>1240.43</v>
      </c>
      <c r="I155" s="33">
        <f t="shared" si="11"/>
        <v>0</v>
      </c>
      <c r="J155" s="34"/>
    </row>
    <row r="156" spans="1:10" x14ac:dyDescent="0.25">
      <c r="A156" s="41" t="s">
        <v>323</v>
      </c>
      <c r="B156" s="28">
        <v>5000006788</v>
      </c>
      <c r="C156" s="42" t="s">
        <v>266</v>
      </c>
      <c r="D156" s="35" t="s">
        <v>29</v>
      </c>
      <c r="E156" s="31"/>
      <c r="F156" s="32">
        <v>1668.95</v>
      </c>
      <c r="G156" s="33">
        <f t="shared" si="10"/>
        <v>0</v>
      </c>
      <c r="H156" s="33">
        <f>ROUND('[1]RESUMO DA PROPOSTA'!$C$18*F156,2)</f>
        <v>3171.01</v>
      </c>
      <c r="I156" s="33">
        <f t="shared" si="11"/>
        <v>0</v>
      </c>
      <c r="J156" s="34"/>
    </row>
    <row r="157" spans="1:10" x14ac:dyDescent="0.25">
      <c r="A157" s="41" t="s">
        <v>324</v>
      </c>
      <c r="B157" s="28">
        <v>5000011410</v>
      </c>
      <c r="C157" s="42" t="s">
        <v>268</v>
      </c>
      <c r="D157" s="35" t="s">
        <v>29</v>
      </c>
      <c r="E157" s="31"/>
      <c r="F157" s="32">
        <v>4713.59</v>
      </c>
      <c r="G157" s="33">
        <f t="shared" si="10"/>
        <v>0</v>
      </c>
      <c r="H157" s="33">
        <f>ROUND('[1]RESUMO DA PROPOSTA'!$C$18*F157,2)</f>
        <v>8955.82</v>
      </c>
      <c r="I157" s="33">
        <f t="shared" si="11"/>
        <v>0</v>
      </c>
      <c r="J157" s="34"/>
    </row>
    <row r="158" spans="1:10" x14ac:dyDescent="0.25">
      <c r="A158" s="41" t="s">
        <v>325</v>
      </c>
      <c r="B158" s="28">
        <v>3000015803</v>
      </c>
      <c r="C158" s="42" t="s">
        <v>270</v>
      </c>
      <c r="D158" s="35" t="s">
        <v>29</v>
      </c>
      <c r="E158" s="31"/>
      <c r="F158" s="32">
        <v>3702.34</v>
      </c>
      <c r="G158" s="33">
        <f t="shared" si="10"/>
        <v>0</v>
      </c>
      <c r="H158" s="33">
        <f>ROUND('[1]RESUMO DA PROPOSTA'!$C$18*F158,2)</f>
        <v>7034.45</v>
      </c>
      <c r="I158" s="33">
        <f t="shared" si="11"/>
        <v>0</v>
      </c>
      <c r="J158" s="34"/>
    </row>
    <row r="159" spans="1:10" x14ac:dyDescent="0.25">
      <c r="A159" s="41" t="s">
        <v>326</v>
      </c>
      <c r="B159" s="28">
        <v>3000018810</v>
      </c>
      <c r="C159" s="42" t="s">
        <v>272</v>
      </c>
      <c r="D159" s="35" t="s">
        <v>29</v>
      </c>
      <c r="E159" s="31"/>
      <c r="F159" s="32">
        <v>4688.3500000000004</v>
      </c>
      <c r="G159" s="33">
        <f t="shared" si="10"/>
        <v>0</v>
      </c>
      <c r="H159" s="33">
        <f>ROUND('[1]RESUMO DA PROPOSTA'!$C$18*F159,2)</f>
        <v>8907.8700000000008</v>
      </c>
      <c r="I159" s="33">
        <f t="shared" si="11"/>
        <v>0</v>
      </c>
      <c r="J159" s="34"/>
    </row>
    <row r="160" spans="1:10" x14ac:dyDescent="0.25">
      <c r="A160" s="41" t="s">
        <v>327</v>
      </c>
      <c r="B160" s="28">
        <v>5000011411</v>
      </c>
      <c r="C160" s="42" t="s">
        <v>274</v>
      </c>
      <c r="D160" s="35" t="s">
        <v>29</v>
      </c>
      <c r="E160" s="31"/>
      <c r="F160" s="32">
        <v>4122.5</v>
      </c>
      <c r="G160" s="33">
        <f t="shared" si="10"/>
        <v>0</v>
      </c>
      <c r="H160" s="33">
        <f>ROUND('[1]RESUMO DA PROPOSTA'!$C$18*F160,2)</f>
        <v>7832.75</v>
      </c>
      <c r="I160" s="33">
        <f t="shared" si="11"/>
        <v>0</v>
      </c>
      <c r="J160" s="34"/>
    </row>
    <row r="161" spans="1:10" x14ac:dyDescent="0.25">
      <c r="A161" s="41" t="s">
        <v>328</v>
      </c>
      <c r="B161" s="28">
        <v>5000011412</v>
      </c>
      <c r="C161" s="42" t="s">
        <v>276</v>
      </c>
      <c r="D161" s="35" t="s">
        <v>29</v>
      </c>
      <c r="E161" s="31"/>
      <c r="F161" s="32">
        <v>6897.52</v>
      </c>
      <c r="G161" s="33">
        <f t="shared" si="10"/>
        <v>0</v>
      </c>
      <c r="H161" s="33">
        <f>ROUND('[1]RESUMO DA PROPOSTA'!$C$18*F161,2)</f>
        <v>13105.29</v>
      </c>
      <c r="I161" s="33">
        <f t="shared" si="11"/>
        <v>0</v>
      </c>
      <c r="J161" s="34"/>
    </row>
    <row r="162" spans="1:10" x14ac:dyDescent="0.25">
      <c r="A162" s="41" t="s">
        <v>329</v>
      </c>
      <c r="B162" s="28">
        <v>5000011154</v>
      </c>
      <c r="C162" s="42" t="s">
        <v>330</v>
      </c>
      <c r="D162" s="35" t="s">
        <v>29</v>
      </c>
      <c r="E162" s="31"/>
      <c r="F162" s="32">
        <v>2887.15</v>
      </c>
      <c r="G162" s="33">
        <f t="shared" si="10"/>
        <v>0</v>
      </c>
      <c r="H162" s="33">
        <f>ROUND('[1]RESUMO DA PROPOSTA'!$C$18*F162,2)</f>
        <v>5485.59</v>
      </c>
      <c r="I162" s="33">
        <f t="shared" si="11"/>
        <v>0</v>
      </c>
      <c r="J162" s="34"/>
    </row>
    <row r="163" spans="1:10" x14ac:dyDescent="0.25">
      <c r="A163" s="41" t="s">
        <v>331</v>
      </c>
      <c r="B163" s="28">
        <v>5000011155</v>
      </c>
      <c r="C163" s="42" t="s">
        <v>332</v>
      </c>
      <c r="D163" s="35" t="s">
        <v>29</v>
      </c>
      <c r="E163" s="31"/>
      <c r="F163" s="32">
        <v>1190.52</v>
      </c>
      <c r="G163" s="33">
        <f t="shared" si="10"/>
        <v>0</v>
      </c>
      <c r="H163" s="33">
        <f>ROUND('[1]RESUMO DA PROPOSTA'!$C$18*F163,2)</f>
        <v>2261.9899999999998</v>
      </c>
      <c r="I163" s="33">
        <f t="shared" si="11"/>
        <v>0</v>
      </c>
      <c r="J163" s="34"/>
    </row>
    <row r="164" spans="1:10" x14ac:dyDescent="0.25">
      <c r="A164" s="41" t="s">
        <v>333</v>
      </c>
      <c r="B164" s="28">
        <v>5000011156</v>
      </c>
      <c r="C164" s="42" t="s">
        <v>334</v>
      </c>
      <c r="D164" s="35" t="s">
        <v>29</v>
      </c>
      <c r="E164" s="31"/>
      <c r="F164" s="32">
        <v>1628.15</v>
      </c>
      <c r="G164" s="33">
        <f t="shared" si="10"/>
        <v>0</v>
      </c>
      <c r="H164" s="33">
        <f>ROUND('[1]RESUMO DA PROPOSTA'!$C$18*F164,2)</f>
        <v>3093.49</v>
      </c>
      <c r="I164" s="33">
        <f t="shared" si="11"/>
        <v>0</v>
      </c>
      <c r="J164" s="34"/>
    </row>
    <row r="165" spans="1:10" x14ac:dyDescent="0.25">
      <c r="A165" s="41" t="s">
        <v>335</v>
      </c>
      <c r="B165" s="28">
        <v>5000011413</v>
      </c>
      <c r="C165" s="42" t="s">
        <v>280</v>
      </c>
      <c r="D165" s="35" t="s">
        <v>29</v>
      </c>
      <c r="E165" s="31"/>
      <c r="F165" s="32">
        <v>265</v>
      </c>
      <c r="G165" s="33">
        <f t="shared" si="10"/>
        <v>0</v>
      </c>
      <c r="H165" s="33">
        <f>ROUND('[1]RESUMO DA PROPOSTA'!$C$18*F165,2)</f>
        <v>503.5</v>
      </c>
      <c r="I165" s="33">
        <f t="shared" si="11"/>
        <v>0</v>
      </c>
      <c r="J165" s="34"/>
    </row>
    <row r="166" spans="1:10" x14ac:dyDescent="0.25">
      <c r="A166" s="41" t="s">
        <v>336</v>
      </c>
      <c r="B166" s="28">
        <v>5000011414</v>
      </c>
      <c r="C166" s="42" t="s">
        <v>282</v>
      </c>
      <c r="D166" s="35" t="s">
        <v>29</v>
      </c>
      <c r="E166" s="31"/>
      <c r="F166" s="32">
        <v>2636.8</v>
      </c>
      <c r="G166" s="33">
        <f t="shared" si="10"/>
        <v>0</v>
      </c>
      <c r="H166" s="33">
        <f>ROUND('[1]RESUMO DA PROPOSTA'!$C$18*F166,2)</f>
        <v>5009.92</v>
      </c>
      <c r="I166" s="33">
        <f t="shared" si="11"/>
        <v>0</v>
      </c>
      <c r="J166" s="34"/>
    </row>
    <row r="167" spans="1:10" x14ac:dyDescent="0.25">
      <c r="A167" s="41" t="s">
        <v>337</v>
      </c>
      <c r="B167" s="28">
        <v>5000011415</v>
      </c>
      <c r="C167" s="42" t="s">
        <v>284</v>
      </c>
      <c r="D167" s="30" t="s">
        <v>29</v>
      </c>
      <c r="E167" s="31"/>
      <c r="F167" s="32">
        <v>1472.49</v>
      </c>
      <c r="G167" s="33">
        <f t="shared" si="10"/>
        <v>0</v>
      </c>
      <c r="H167" s="33">
        <f>ROUND('[1]RESUMO DA PROPOSTA'!$C$18*F167,2)</f>
        <v>2797.73</v>
      </c>
      <c r="I167" s="33">
        <f t="shared" si="11"/>
        <v>0</v>
      </c>
      <c r="J167" s="34"/>
    </row>
    <row r="168" spans="1:10" x14ac:dyDescent="0.25">
      <c r="A168" s="41" t="s">
        <v>338</v>
      </c>
      <c r="B168" s="28">
        <v>5000011416</v>
      </c>
      <c r="C168" s="42" t="s">
        <v>286</v>
      </c>
      <c r="D168" s="30" t="s">
        <v>29</v>
      </c>
      <c r="E168" s="31"/>
      <c r="F168" s="32">
        <v>2705.72</v>
      </c>
      <c r="G168" s="33">
        <f t="shared" si="10"/>
        <v>0</v>
      </c>
      <c r="H168" s="33">
        <f>ROUND('[1]RESUMO DA PROPOSTA'!$C$18*F168,2)</f>
        <v>5140.87</v>
      </c>
      <c r="I168" s="33">
        <f t="shared" si="11"/>
        <v>0</v>
      </c>
      <c r="J168" s="34"/>
    </row>
    <row r="169" spans="1:10" x14ac:dyDescent="0.25">
      <c r="A169" s="41" t="s">
        <v>339</v>
      </c>
      <c r="B169" s="28">
        <v>5000011417</v>
      </c>
      <c r="C169" s="42" t="s">
        <v>288</v>
      </c>
      <c r="D169" s="30" t="s">
        <v>29</v>
      </c>
      <c r="E169" s="31"/>
      <c r="F169" s="32">
        <v>830.25</v>
      </c>
      <c r="G169" s="33">
        <f t="shared" si="10"/>
        <v>0</v>
      </c>
      <c r="H169" s="33">
        <f>ROUND('[1]RESUMO DA PROPOSTA'!$C$18*F169,2)</f>
        <v>1577.48</v>
      </c>
      <c r="I169" s="33">
        <f t="shared" si="11"/>
        <v>0</v>
      </c>
      <c r="J169" s="34"/>
    </row>
    <row r="170" spans="1:10" x14ac:dyDescent="0.25">
      <c r="A170" s="41" t="s">
        <v>340</v>
      </c>
      <c r="B170" s="28">
        <v>3000018693</v>
      </c>
      <c r="C170" s="42" t="s">
        <v>290</v>
      </c>
      <c r="D170" s="35" t="s">
        <v>29</v>
      </c>
      <c r="E170" s="31"/>
      <c r="F170" s="32">
        <v>1903.77</v>
      </c>
      <c r="G170" s="33">
        <f t="shared" si="10"/>
        <v>0</v>
      </c>
      <c r="H170" s="33">
        <f>ROUND('[1]RESUMO DA PROPOSTA'!$C$18*F170,2)</f>
        <v>3617.16</v>
      </c>
      <c r="I170" s="33">
        <f t="shared" si="11"/>
        <v>0</v>
      </c>
      <c r="J170" s="34"/>
    </row>
    <row r="171" spans="1:10" x14ac:dyDescent="0.25">
      <c r="A171" s="41" t="s">
        <v>341</v>
      </c>
      <c r="B171" s="28">
        <v>3000018779</v>
      </c>
      <c r="C171" s="42" t="s">
        <v>292</v>
      </c>
      <c r="D171" s="35" t="s">
        <v>29</v>
      </c>
      <c r="E171" s="31"/>
      <c r="F171" s="32">
        <v>2056.85</v>
      </c>
      <c r="G171" s="33">
        <f t="shared" si="10"/>
        <v>0</v>
      </c>
      <c r="H171" s="33">
        <f>ROUND('[1]RESUMO DA PROPOSTA'!$C$18*F171,2)</f>
        <v>3908.02</v>
      </c>
      <c r="I171" s="33">
        <f t="shared" si="11"/>
        <v>0</v>
      </c>
      <c r="J171" s="34"/>
    </row>
    <row r="172" spans="1:10" x14ac:dyDescent="0.25">
      <c r="A172" s="41" t="s">
        <v>342</v>
      </c>
      <c r="B172" s="28">
        <v>3000018688</v>
      </c>
      <c r="C172" s="42" t="s">
        <v>294</v>
      </c>
      <c r="D172" s="35" t="s">
        <v>29</v>
      </c>
      <c r="E172" s="31"/>
      <c r="F172" s="32">
        <v>3575.45</v>
      </c>
      <c r="G172" s="33">
        <f t="shared" si="10"/>
        <v>0</v>
      </c>
      <c r="H172" s="33">
        <f>ROUND('[1]RESUMO DA PROPOSTA'!$C$18*F172,2)</f>
        <v>6793.36</v>
      </c>
      <c r="I172" s="33">
        <f t="shared" si="11"/>
        <v>0</v>
      </c>
      <c r="J172" s="34"/>
    </row>
    <row r="173" spans="1:10" ht="25.5" x14ac:dyDescent="0.25">
      <c r="A173" s="41" t="s">
        <v>343</v>
      </c>
      <c r="B173" s="28">
        <v>3000018289</v>
      </c>
      <c r="C173" s="42" t="s">
        <v>344</v>
      </c>
      <c r="D173" s="35" t="s">
        <v>29</v>
      </c>
      <c r="E173" s="31"/>
      <c r="F173" s="32">
        <v>2751.71</v>
      </c>
      <c r="G173" s="33">
        <f t="shared" si="10"/>
        <v>0</v>
      </c>
      <c r="H173" s="33">
        <f>ROUND('[1]RESUMO DA PROPOSTA'!$C$18*F173,2)</f>
        <v>5228.25</v>
      </c>
      <c r="I173" s="33">
        <f t="shared" si="11"/>
        <v>0</v>
      </c>
      <c r="J173" s="34"/>
    </row>
    <row r="174" spans="1:10" ht="25.5" x14ac:dyDescent="0.25">
      <c r="A174" s="41" t="s">
        <v>345</v>
      </c>
      <c r="B174" s="28">
        <v>3000018754</v>
      </c>
      <c r="C174" s="42" t="s">
        <v>346</v>
      </c>
      <c r="D174" s="35" t="s">
        <v>29</v>
      </c>
      <c r="E174" s="31"/>
      <c r="F174" s="32">
        <v>4051.69</v>
      </c>
      <c r="G174" s="33">
        <f t="shared" si="10"/>
        <v>0</v>
      </c>
      <c r="H174" s="33">
        <f>ROUND('[1]RESUMO DA PROPOSTA'!$C$18*F174,2)</f>
        <v>7698.21</v>
      </c>
      <c r="I174" s="33">
        <f t="shared" si="11"/>
        <v>0</v>
      </c>
      <c r="J174" s="34"/>
    </row>
    <row r="175" spans="1:10" x14ac:dyDescent="0.25">
      <c r="A175" s="41" t="s">
        <v>347</v>
      </c>
      <c r="B175" s="28">
        <v>3000018724</v>
      </c>
      <c r="C175" s="42" t="s">
        <v>302</v>
      </c>
      <c r="D175" s="35" t="s">
        <v>29</v>
      </c>
      <c r="E175" s="31"/>
      <c r="F175" s="32">
        <v>4496.8900000000003</v>
      </c>
      <c r="G175" s="33">
        <f t="shared" si="10"/>
        <v>0</v>
      </c>
      <c r="H175" s="33">
        <f>ROUND('[1]RESUMO DA PROPOSTA'!$C$18*F175,2)</f>
        <v>8544.09</v>
      </c>
      <c r="I175" s="33">
        <f t="shared" si="11"/>
        <v>0</v>
      </c>
      <c r="J175" s="34"/>
    </row>
    <row r="176" spans="1:10" x14ac:dyDescent="0.25">
      <c r="A176" s="41" t="s">
        <v>348</v>
      </c>
      <c r="B176" s="28">
        <v>5000011423</v>
      </c>
      <c r="C176" s="42" t="s">
        <v>349</v>
      </c>
      <c r="D176" s="35" t="s">
        <v>29</v>
      </c>
      <c r="E176" s="31"/>
      <c r="F176" s="32">
        <v>2593.9499999999998</v>
      </c>
      <c r="G176" s="33">
        <f t="shared" si="10"/>
        <v>0</v>
      </c>
      <c r="H176" s="33">
        <f>ROUND('[1]RESUMO DA PROPOSTA'!$C$18*F176,2)</f>
        <v>4928.51</v>
      </c>
      <c r="I176" s="33">
        <f t="shared" si="11"/>
        <v>0</v>
      </c>
      <c r="J176" s="34"/>
    </row>
    <row r="177" spans="1:10" x14ac:dyDescent="0.25">
      <c r="A177" s="41" t="s">
        <v>350</v>
      </c>
      <c r="B177" s="28">
        <v>5000011418</v>
      </c>
      <c r="C177" s="38" t="s">
        <v>304</v>
      </c>
      <c r="D177" s="35" t="s">
        <v>29</v>
      </c>
      <c r="E177" s="31"/>
      <c r="F177" s="32">
        <v>2232.09</v>
      </c>
      <c r="G177" s="33">
        <f t="shared" si="10"/>
        <v>0</v>
      </c>
      <c r="H177" s="33">
        <f>ROUND('[1]RESUMO DA PROPOSTA'!$C$18*F177,2)</f>
        <v>4240.97</v>
      </c>
      <c r="I177" s="33">
        <f t="shared" si="11"/>
        <v>0</v>
      </c>
      <c r="J177" s="34"/>
    </row>
    <row r="178" spans="1:10" x14ac:dyDescent="0.25">
      <c r="A178" s="41" t="s">
        <v>351</v>
      </c>
      <c r="B178" s="28">
        <v>5000011419</v>
      </c>
      <c r="C178" s="42" t="s">
        <v>306</v>
      </c>
      <c r="D178" s="35" t="s">
        <v>29</v>
      </c>
      <c r="E178" s="31"/>
      <c r="F178" s="32">
        <v>3331.6900000000005</v>
      </c>
      <c r="G178" s="33">
        <f t="shared" si="10"/>
        <v>0</v>
      </c>
      <c r="H178" s="60">
        <f>ROUND('[1]RESUMO DA PROPOSTA'!$C$18*F178,2)</f>
        <v>6330.21</v>
      </c>
      <c r="I178" s="60">
        <f t="shared" si="11"/>
        <v>0</v>
      </c>
      <c r="J178" s="34"/>
    </row>
    <row r="179" spans="1:10" ht="15.75" x14ac:dyDescent="0.25">
      <c r="A179" s="43" t="s">
        <v>352</v>
      </c>
      <c r="B179" s="44"/>
      <c r="C179" s="45" t="s">
        <v>353</v>
      </c>
      <c r="D179" s="46"/>
      <c r="E179" s="47"/>
      <c r="F179" s="48" t="s">
        <v>17</v>
      </c>
      <c r="G179" s="49">
        <f>SUBTOTAL(9,G180:G203)</f>
        <v>0</v>
      </c>
      <c r="H179" s="48" t="s">
        <v>17</v>
      </c>
      <c r="I179" s="49">
        <f>SUBTOTAL(9,I180:I203)</f>
        <v>0</v>
      </c>
      <c r="J179" s="50"/>
    </row>
    <row r="180" spans="1:10" x14ac:dyDescent="0.25">
      <c r="A180" s="62" t="s">
        <v>354</v>
      </c>
      <c r="B180" s="28">
        <v>3000018804</v>
      </c>
      <c r="C180" s="42" t="s">
        <v>355</v>
      </c>
      <c r="D180" s="35" t="s">
        <v>29</v>
      </c>
      <c r="E180" s="31"/>
      <c r="F180" s="32">
        <v>52711.21</v>
      </c>
      <c r="G180" s="60">
        <f t="shared" ref="G180:G203" si="12">ROUND(E180*F180,2)</f>
        <v>0</v>
      </c>
      <c r="H180" s="60">
        <f>ROUND('[1]RESUMO DA PROPOSTA'!$C$18*F180,2)</f>
        <v>100151.3</v>
      </c>
      <c r="I180" s="60">
        <f t="shared" ref="I180:I203" si="13">ROUND(E180*H180,2)</f>
        <v>0</v>
      </c>
      <c r="J180" s="61"/>
    </row>
    <row r="181" spans="1:10" ht="25.5" x14ac:dyDescent="0.25">
      <c r="A181" s="62" t="s">
        <v>356</v>
      </c>
      <c r="B181" s="28">
        <v>3000018853</v>
      </c>
      <c r="C181" s="42" t="s">
        <v>357</v>
      </c>
      <c r="D181" s="35" t="s">
        <v>29</v>
      </c>
      <c r="E181" s="31"/>
      <c r="F181" s="32">
        <v>3123.61</v>
      </c>
      <c r="G181" s="33">
        <f t="shared" si="12"/>
        <v>0</v>
      </c>
      <c r="H181" s="33">
        <f>ROUND('[1]RESUMO DA PROPOSTA'!$C$18*F181,2)</f>
        <v>5934.86</v>
      </c>
      <c r="I181" s="33">
        <f t="shared" si="13"/>
        <v>0</v>
      </c>
      <c r="J181" s="34"/>
    </row>
    <row r="182" spans="1:10" ht="25.5" x14ac:dyDescent="0.25">
      <c r="A182" s="62" t="s">
        <v>358</v>
      </c>
      <c r="B182" s="28">
        <v>3000018309</v>
      </c>
      <c r="C182" s="42" t="s">
        <v>359</v>
      </c>
      <c r="D182" s="35" t="s">
        <v>29</v>
      </c>
      <c r="E182" s="31"/>
      <c r="F182" s="32">
        <v>2646.52</v>
      </c>
      <c r="G182" s="33">
        <f t="shared" si="12"/>
        <v>0</v>
      </c>
      <c r="H182" s="33">
        <f>ROUND('[1]RESUMO DA PROPOSTA'!$C$18*F182,2)</f>
        <v>5028.3900000000003</v>
      </c>
      <c r="I182" s="33">
        <f t="shared" si="13"/>
        <v>0</v>
      </c>
      <c r="J182" s="34"/>
    </row>
    <row r="183" spans="1:10" ht="25.5" x14ac:dyDescent="0.25">
      <c r="A183" s="62" t="s">
        <v>360</v>
      </c>
      <c r="B183" s="28">
        <v>3000018218</v>
      </c>
      <c r="C183" s="42" t="s">
        <v>361</v>
      </c>
      <c r="D183" s="35" t="s">
        <v>29</v>
      </c>
      <c r="E183" s="31"/>
      <c r="F183" s="32">
        <v>3517.21</v>
      </c>
      <c r="G183" s="33">
        <f t="shared" si="12"/>
        <v>0</v>
      </c>
      <c r="H183" s="33">
        <f>ROUND('[1]RESUMO DA PROPOSTA'!$C$18*F183,2)</f>
        <v>6682.7</v>
      </c>
      <c r="I183" s="33">
        <f t="shared" si="13"/>
        <v>0</v>
      </c>
      <c r="J183" s="34"/>
    </row>
    <row r="184" spans="1:10" ht="25.5" x14ac:dyDescent="0.25">
      <c r="A184" s="62" t="s">
        <v>362</v>
      </c>
      <c r="B184" s="28">
        <v>3000018774</v>
      </c>
      <c r="C184" s="42" t="s">
        <v>363</v>
      </c>
      <c r="D184" s="35" t="s">
        <v>29</v>
      </c>
      <c r="E184" s="31"/>
      <c r="F184" s="32">
        <v>3711.52</v>
      </c>
      <c r="G184" s="33">
        <f t="shared" si="12"/>
        <v>0</v>
      </c>
      <c r="H184" s="33">
        <f>ROUND('[1]RESUMO DA PROPOSTA'!$C$18*F184,2)</f>
        <v>7051.89</v>
      </c>
      <c r="I184" s="33">
        <f t="shared" si="13"/>
        <v>0</v>
      </c>
      <c r="J184" s="34"/>
    </row>
    <row r="185" spans="1:10" ht="25.5" x14ac:dyDescent="0.25">
      <c r="A185" s="62" t="s">
        <v>364</v>
      </c>
      <c r="B185" s="28">
        <v>3000018393</v>
      </c>
      <c r="C185" s="42" t="s">
        <v>365</v>
      </c>
      <c r="D185" s="35" t="s">
        <v>29</v>
      </c>
      <c r="E185" s="31"/>
      <c r="F185" s="32">
        <v>3079.87</v>
      </c>
      <c r="G185" s="33">
        <f t="shared" si="12"/>
        <v>0</v>
      </c>
      <c r="H185" s="33">
        <f>ROUND('[1]RESUMO DA PROPOSTA'!$C$18*F185,2)</f>
        <v>5851.75</v>
      </c>
      <c r="I185" s="33">
        <f t="shared" si="13"/>
        <v>0</v>
      </c>
      <c r="J185" s="34"/>
    </row>
    <row r="186" spans="1:10" x14ac:dyDescent="0.25">
      <c r="A186" s="62" t="s">
        <v>366</v>
      </c>
      <c r="B186" s="28">
        <v>5000011157</v>
      </c>
      <c r="C186" s="42" t="s">
        <v>367</v>
      </c>
      <c r="D186" s="35" t="s">
        <v>29</v>
      </c>
      <c r="E186" s="31"/>
      <c r="F186" s="32">
        <v>723.28</v>
      </c>
      <c r="G186" s="33">
        <f t="shared" si="12"/>
        <v>0</v>
      </c>
      <c r="H186" s="33">
        <f>ROUND('[1]RESUMO DA PROPOSTA'!$C$18*F186,2)</f>
        <v>1374.23</v>
      </c>
      <c r="I186" s="33">
        <f t="shared" si="13"/>
        <v>0</v>
      </c>
      <c r="J186" s="34"/>
    </row>
    <row r="187" spans="1:10" ht="25.5" x14ac:dyDescent="0.25">
      <c r="A187" s="62" t="s">
        <v>368</v>
      </c>
      <c r="B187" s="28">
        <v>3000018794</v>
      </c>
      <c r="C187" s="42" t="s">
        <v>369</v>
      </c>
      <c r="D187" s="35" t="s">
        <v>29</v>
      </c>
      <c r="E187" s="31"/>
      <c r="F187" s="32">
        <v>2691.13</v>
      </c>
      <c r="G187" s="33">
        <f t="shared" si="12"/>
        <v>0</v>
      </c>
      <c r="H187" s="33">
        <f>ROUND('[1]RESUMO DA PROPOSTA'!$C$18*F187,2)</f>
        <v>5113.1499999999996</v>
      </c>
      <c r="I187" s="33">
        <f t="shared" si="13"/>
        <v>0</v>
      </c>
      <c r="J187" s="34"/>
    </row>
    <row r="188" spans="1:10" x14ac:dyDescent="0.25">
      <c r="A188" s="62" t="s">
        <v>370</v>
      </c>
      <c r="B188" s="28">
        <v>5000011158</v>
      </c>
      <c r="C188" s="42" t="s">
        <v>371</v>
      </c>
      <c r="D188" s="35" t="s">
        <v>29</v>
      </c>
      <c r="E188" s="31"/>
      <c r="F188" s="32">
        <v>4620.9399999999996</v>
      </c>
      <c r="G188" s="33">
        <f t="shared" si="12"/>
        <v>0</v>
      </c>
      <c r="H188" s="33">
        <f>ROUND('[1]RESUMO DA PROPOSTA'!$C$18*F188,2)</f>
        <v>8779.7900000000009</v>
      </c>
      <c r="I188" s="33">
        <f t="shared" si="13"/>
        <v>0</v>
      </c>
      <c r="J188" s="34"/>
    </row>
    <row r="189" spans="1:10" ht="25.5" x14ac:dyDescent="0.25">
      <c r="A189" s="62" t="s">
        <v>372</v>
      </c>
      <c r="B189" s="28">
        <v>3000018299</v>
      </c>
      <c r="C189" s="42" t="s">
        <v>373</v>
      </c>
      <c r="D189" s="35" t="s">
        <v>29</v>
      </c>
      <c r="E189" s="31"/>
      <c r="F189" s="32">
        <v>11919.09</v>
      </c>
      <c r="G189" s="33">
        <f t="shared" si="12"/>
        <v>0</v>
      </c>
      <c r="H189" s="33">
        <f>ROUND('[1]RESUMO DA PROPOSTA'!$C$18*F189,2)</f>
        <v>22646.27</v>
      </c>
      <c r="I189" s="33">
        <f t="shared" si="13"/>
        <v>0</v>
      </c>
      <c r="J189" s="34"/>
    </row>
    <row r="190" spans="1:10" x14ac:dyDescent="0.25">
      <c r="A190" s="62" t="s">
        <v>374</v>
      </c>
      <c r="B190" s="28">
        <v>5000011159</v>
      </c>
      <c r="C190" s="42" t="s">
        <v>375</v>
      </c>
      <c r="D190" s="35" t="s">
        <v>29</v>
      </c>
      <c r="E190" s="31"/>
      <c r="F190" s="32">
        <v>10286.06</v>
      </c>
      <c r="G190" s="33">
        <f t="shared" si="12"/>
        <v>0</v>
      </c>
      <c r="H190" s="33">
        <f>ROUND('[1]RESUMO DA PROPOSTA'!$C$18*F190,2)</f>
        <v>19543.509999999998</v>
      </c>
      <c r="I190" s="33">
        <f t="shared" si="13"/>
        <v>0</v>
      </c>
      <c r="J190" s="34"/>
    </row>
    <row r="191" spans="1:10" x14ac:dyDescent="0.25">
      <c r="A191" s="62" t="s">
        <v>376</v>
      </c>
      <c r="B191" s="28">
        <v>5000011160</v>
      </c>
      <c r="C191" s="42" t="s">
        <v>377</v>
      </c>
      <c r="D191" s="35" t="s">
        <v>29</v>
      </c>
      <c r="E191" s="31"/>
      <c r="F191" s="32">
        <v>1503.26</v>
      </c>
      <c r="G191" s="33">
        <f t="shared" si="12"/>
        <v>0</v>
      </c>
      <c r="H191" s="33">
        <f>ROUND('[1]RESUMO DA PROPOSTA'!$C$18*F191,2)</f>
        <v>2856.19</v>
      </c>
      <c r="I191" s="33">
        <f t="shared" si="13"/>
        <v>0</v>
      </c>
      <c r="J191" s="34"/>
    </row>
    <row r="192" spans="1:10" x14ac:dyDescent="0.25">
      <c r="A192" s="62" t="s">
        <v>378</v>
      </c>
      <c r="B192" s="28">
        <v>3000018769</v>
      </c>
      <c r="C192" s="42" t="s">
        <v>379</v>
      </c>
      <c r="D192" s="35" t="s">
        <v>29</v>
      </c>
      <c r="E192" s="31"/>
      <c r="F192" s="32">
        <v>7478.1</v>
      </c>
      <c r="G192" s="33">
        <f t="shared" si="12"/>
        <v>0</v>
      </c>
      <c r="H192" s="33">
        <f>ROUND('[1]RESUMO DA PROPOSTA'!$C$18*F192,2)</f>
        <v>14208.39</v>
      </c>
      <c r="I192" s="33">
        <f t="shared" si="13"/>
        <v>0</v>
      </c>
      <c r="J192" s="34"/>
    </row>
    <row r="193" spans="1:10" x14ac:dyDescent="0.25">
      <c r="A193" s="62" t="s">
        <v>380</v>
      </c>
      <c r="B193" s="28">
        <v>5000011161</v>
      </c>
      <c r="C193" s="42" t="s">
        <v>381</v>
      </c>
      <c r="D193" s="35" t="s">
        <v>29</v>
      </c>
      <c r="E193" s="31"/>
      <c r="F193" s="32">
        <v>9617.08</v>
      </c>
      <c r="G193" s="33">
        <f t="shared" si="12"/>
        <v>0</v>
      </c>
      <c r="H193" s="33">
        <f>ROUND('[1]RESUMO DA PROPOSTA'!$C$18*F193,2)</f>
        <v>18272.45</v>
      </c>
      <c r="I193" s="33">
        <f t="shared" si="13"/>
        <v>0</v>
      </c>
      <c r="J193" s="34"/>
    </row>
    <row r="194" spans="1:10" x14ac:dyDescent="0.25">
      <c r="A194" s="62" t="s">
        <v>382</v>
      </c>
      <c r="B194" s="28">
        <v>5000011162</v>
      </c>
      <c r="C194" s="42" t="s">
        <v>383</v>
      </c>
      <c r="D194" s="35" t="s">
        <v>29</v>
      </c>
      <c r="E194" s="31"/>
      <c r="F194" s="32">
        <v>8638.9500000000007</v>
      </c>
      <c r="G194" s="33">
        <f t="shared" si="12"/>
        <v>0</v>
      </c>
      <c r="H194" s="33">
        <f>ROUND('[1]RESUMO DA PROPOSTA'!$C$18*F194,2)</f>
        <v>16414.009999999998</v>
      </c>
      <c r="I194" s="33">
        <f t="shared" si="13"/>
        <v>0</v>
      </c>
      <c r="J194" s="34"/>
    </row>
    <row r="195" spans="1:10" x14ac:dyDescent="0.25">
      <c r="A195" s="62" t="s">
        <v>384</v>
      </c>
      <c r="B195" s="28">
        <v>5000011163</v>
      </c>
      <c r="C195" s="42" t="s">
        <v>385</v>
      </c>
      <c r="D195" s="35" t="s">
        <v>29</v>
      </c>
      <c r="E195" s="31"/>
      <c r="F195" s="32">
        <v>30871.65</v>
      </c>
      <c r="G195" s="33">
        <f t="shared" si="12"/>
        <v>0</v>
      </c>
      <c r="H195" s="33">
        <f>ROUND('[1]RESUMO DA PROPOSTA'!$C$18*F195,2)</f>
        <v>58656.14</v>
      </c>
      <c r="I195" s="33">
        <f t="shared" si="13"/>
        <v>0</v>
      </c>
      <c r="J195" s="34"/>
    </row>
    <row r="196" spans="1:10" x14ac:dyDescent="0.25">
      <c r="A196" s="62" t="s">
        <v>386</v>
      </c>
      <c r="B196" s="28">
        <v>5000009008</v>
      </c>
      <c r="C196" s="42" t="s">
        <v>260</v>
      </c>
      <c r="D196" s="35" t="s">
        <v>29</v>
      </c>
      <c r="E196" s="31"/>
      <c r="F196" s="32">
        <v>2887.15</v>
      </c>
      <c r="G196" s="33">
        <f t="shared" si="12"/>
        <v>0</v>
      </c>
      <c r="H196" s="33">
        <f>ROUND('[1]RESUMO DA PROPOSTA'!$C$18*F196,2)</f>
        <v>5485.59</v>
      </c>
      <c r="I196" s="33">
        <f t="shared" si="13"/>
        <v>0</v>
      </c>
      <c r="J196" s="34"/>
    </row>
    <row r="197" spans="1:10" x14ac:dyDescent="0.25">
      <c r="A197" s="62" t="s">
        <v>387</v>
      </c>
      <c r="B197" s="28">
        <v>3000018815</v>
      </c>
      <c r="C197" s="42" t="s">
        <v>262</v>
      </c>
      <c r="D197" s="35" t="s">
        <v>29</v>
      </c>
      <c r="E197" s="31"/>
      <c r="F197" s="32">
        <v>3690.17</v>
      </c>
      <c r="G197" s="33">
        <f t="shared" si="12"/>
        <v>0</v>
      </c>
      <c r="H197" s="33">
        <f>ROUND('[1]RESUMO DA PROPOSTA'!$C$18*F197,2)</f>
        <v>7011.32</v>
      </c>
      <c r="I197" s="33">
        <f t="shared" si="13"/>
        <v>0</v>
      </c>
      <c r="J197" s="34"/>
    </row>
    <row r="198" spans="1:10" x14ac:dyDescent="0.25">
      <c r="A198" s="62" t="s">
        <v>388</v>
      </c>
      <c r="B198" s="28">
        <v>3000015803</v>
      </c>
      <c r="C198" s="42" t="s">
        <v>270</v>
      </c>
      <c r="D198" s="35" t="s">
        <v>29</v>
      </c>
      <c r="E198" s="31"/>
      <c r="F198" s="32">
        <v>3702.34</v>
      </c>
      <c r="G198" s="33">
        <f t="shared" si="12"/>
        <v>0</v>
      </c>
      <c r="H198" s="33">
        <f>ROUND('[1]RESUMO DA PROPOSTA'!$C$18*F198,2)</f>
        <v>7034.45</v>
      </c>
      <c r="I198" s="33">
        <f t="shared" si="13"/>
        <v>0</v>
      </c>
      <c r="J198" s="34"/>
    </row>
    <row r="199" spans="1:10" x14ac:dyDescent="0.25">
      <c r="A199" s="62" t="s">
        <v>389</v>
      </c>
      <c r="B199" s="28">
        <v>3000018810</v>
      </c>
      <c r="C199" s="42" t="s">
        <v>272</v>
      </c>
      <c r="D199" s="35" t="s">
        <v>29</v>
      </c>
      <c r="E199" s="31"/>
      <c r="F199" s="32">
        <v>4688.3500000000004</v>
      </c>
      <c r="G199" s="33">
        <f t="shared" si="12"/>
        <v>0</v>
      </c>
      <c r="H199" s="33">
        <f>ROUND('[1]RESUMO DA PROPOSTA'!$C$18*F199,2)</f>
        <v>8907.8700000000008</v>
      </c>
      <c r="I199" s="33">
        <f t="shared" si="13"/>
        <v>0</v>
      </c>
      <c r="J199" s="34"/>
    </row>
    <row r="200" spans="1:10" x14ac:dyDescent="0.25">
      <c r="A200" s="62" t="s">
        <v>390</v>
      </c>
      <c r="B200" s="28">
        <v>5000011411</v>
      </c>
      <c r="C200" s="42" t="s">
        <v>274</v>
      </c>
      <c r="D200" s="35" t="s">
        <v>29</v>
      </c>
      <c r="E200" s="31"/>
      <c r="F200" s="32">
        <v>4122.5</v>
      </c>
      <c r="G200" s="33">
        <f t="shared" si="12"/>
        <v>0</v>
      </c>
      <c r="H200" s="33">
        <f>ROUND('[1]RESUMO DA PROPOSTA'!$C$18*F200,2)</f>
        <v>7832.75</v>
      </c>
      <c r="I200" s="33">
        <f t="shared" si="13"/>
        <v>0</v>
      </c>
      <c r="J200" s="34"/>
    </row>
    <row r="201" spans="1:10" x14ac:dyDescent="0.25">
      <c r="A201" s="62" t="s">
        <v>391</v>
      </c>
      <c r="B201" s="28">
        <v>5000011424</v>
      </c>
      <c r="C201" s="42" t="s">
        <v>392</v>
      </c>
      <c r="D201" s="35" t="s">
        <v>29</v>
      </c>
      <c r="E201" s="31"/>
      <c r="F201" s="32">
        <v>3307.55</v>
      </c>
      <c r="G201" s="33">
        <f t="shared" si="12"/>
        <v>0</v>
      </c>
      <c r="H201" s="33">
        <f>ROUND('[1]RESUMO DA PROPOSTA'!$C$18*F201,2)</f>
        <v>6284.35</v>
      </c>
      <c r="I201" s="33">
        <f t="shared" si="13"/>
        <v>0</v>
      </c>
      <c r="J201" s="34"/>
    </row>
    <row r="202" spans="1:10" x14ac:dyDescent="0.25">
      <c r="A202" s="62" t="s">
        <v>393</v>
      </c>
      <c r="B202" s="28">
        <v>5000011425</v>
      </c>
      <c r="C202" s="42" t="s">
        <v>394</v>
      </c>
      <c r="D202" s="35" t="s">
        <v>29</v>
      </c>
      <c r="E202" s="31"/>
      <c r="F202" s="32">
        <v>30661.81</v>
      </c>
      <c r="G202" s="33">
        <f t="shared" si="12"/>
        <v>0</v>
      </c>
      <c r="H202" s="33">
        <f>ROUND('[1]RESUMO DA PROPOSTA'!$C$18*F202,2)</f>
        <v>58257.440000000002</v>
      </c>
      <c r="I202" s="33">
        <f t="shared" si="13"/>
        <v>0</v>
      </c>
      <c r="J202" s="34"/>
    </row>
    <row r="203" spans="1:10" x14ac:dyDescent="0.25">
      <c r="A203" s="62" t="s">
        <v>395</v>
      </c>
      <c r="B203" s="28">
        <v>5000011426</v>
      </c>
      <c r="C203" s="42" t="s">
        <v>396</v>
      </c>
      <c r="D203" s="35" t="s">
        <v>29</v>
      </c>
      <c r="E203" s="31"/>
      <c r="F203" s="63">
        <v>39186.35</v>
      </c>
      <c r="G203" s="60">
        <f t="shared" si="12"/>
        <v>0</v>
      </c>
      <c r="H203" s="60">
        <f>ROUND('[1]RESUMO DA PROPOSTA'!$C$18*F203,2)</f>
        <v>74454.070000000007</v>
      </c>
      <c r="I203" s="60">
        <f t="shared" si="13"/>
        <v>0</v>
      </c>
      <c r="J203" s="61"/>
    </row>
    <row r="204" spans="1:10" ht="15.75" x14ac:dyDescent="0.25">
      <c r="A204" s="43" t="s">
        <v>397</v>
      </c>
      <c r="B204" s="44"/>
      <c r="C204" s="45" t="s">
        <v>398</v>
      </c>
      <c r="D204" s="46"/>
      <c r="E204" s="47"/>
      <c r="F204" s="48" t="s">
        <v>17</v>
      </c>
      <c r="G204" s="49">
        <f>SUBTOTAL(9,G205:G226)</f>
        <v>438891</v>
      </c>
      <c r="H204" s="48" t="s">
        <v>17</v>
      </c>
      <c r="I204" s="49">
        <f>SUBTOTAL(9,I205:I226)</f>
        <v>833892.91999999993</v>
      </c>
      <c r="J204" s="50"/>
    </row>
    <row r="205" spans="1:10" x14ac:dyDescent="0.25">
      <c r="A205" s="41" t="s">
        <v>399</v>
      </c>
      <c r="B205" s="28">
        <v>5000011164</v>
      </c>
      <c r="C205" s="42" t="s">
        <v>400</v>
      </c>
      <c r="D205" s="35" t="s">
        <v>29</v>
      </c>
      <c r="E205" s="31"/>
      <c r="F205" s="32">
        <v>43846.7</v>
      </c>
      <c r="G205" s="33">
        <f t="shared" ref="G205:G226" si="14">ROUND(E205*F205,2)</f>
        <v>0</v>
      </c>
      <c r="H205" s="33">
        <f>ROUND('[1]RESUMO DA PROPOSTA'!$C$18*F205,2)</f>
        <v>83308.73</v>
      </c>
      <c r="I205" s="33">
        <f t="shared" ref="I205:I226" si="15">ROUND(E205*H205,2)</f>
        <v>0</v>
      </c>
      <c r="J205" s="34"/>
    </row>
    <row r="206" spans="1:10" x14ac:dyDescent="0.25">
      <c r="A206" s="41" t="s">
        <v>401</v>
      </c>
      <c r="B206" s="28">
        <v>5000011165</v>
      </c>
      <c r="C206" s="42" t="s">
        <v>402</v>
      </c>
      <c r="D206" s="35" t="s">
        <v>29</v>
      </c>
      <c r="E206" s="31"/>
      <c r="F206" s="32">
        <v>25566.31</v>
      </c>
      <c r="G206" s="33">
        <f t="shared" si="14"/>
        <v>0</v>
      </c>
      <c r="H206" s="33">
        <f>ROUND('[1]RESUMO DA PROPOSTA'!$C$18*F206,2)</f>
        <v>48575.99</v>
      </c>
      <c r="I206" s="33">
        <f t="shared" si="15"/>
        <v>0</v>
      </c>
      <c r="J206" s="34"/>
    </row>
    <row r="207" spans="1:10" x14ac:dyDescent="0.25">
      <c r="A207" s="41" t="s">
        <v>403</v>
      </c>
      <c r="B207" s="28">
        <v>3000018827</v>
      </c>
      <c r="C207" s="42" t="s">
        <v>404</v>
      </c>
      <c r="D207" s="35" t="s">
        <v>29</v>
      </c>
      <c r="E207" s="31"/>
      <c r="F207" s="32">
        <v>63440.83</v>
      </c>
      <c r="G207" s="33">
        <f t="shared" si="14"/>
        <v>0</v>
      </c>
      <c r="H207" s="33">
        <f>ROUND('[1]RESUMO DA PROPOSTA'!$C$18*F207,2)</f>
        <v>120537.58</v>
      </c>
      <c r="I207" s="33">
        <f t="shared" si="15"/>
        <v>0</v>
      </c>
      <c r="J207" s="34"/>
    </row>
    <row r="208" spans="1:10" x14ac:dyDescent="0.25">
      <c r="A208" s="41" t="s">
        <v>405</v>
      </c>
      <c r="B208" s="28">
        <v>5000011427</v>
      </c>
      <c r="C208" s="42" t="s">
        <v>406</v>
      </c>
      <c r="D208" s="35" t="s">
        <v>29</v>
      </c>
      <c r="E208" s="31">
        <v>2</v>
      </c>
      <c r="F208" s="32">
        <v>75344.39</v>
      </c>
      <c r="G208" s="33">
        <f t="shared" si="14"/>
        <v>150688.78</v>
      </c>
      <c r="H208" s="33">
        <f>ROUND('[1]RESUMO DA PROPOSTA'!$C$18*F208,2)</f>
        <v>143154.34</v>
      </c>
      <c r="I208" s="33">
        <f t="shared" si="15"/>
        <v>286308.68</v>
      </c>
      <c r="J208" s="34"/>
    </row>
    <row r="209" spans="1:10" ht="25.5" x14ac:dyDescent="0.25">
      <c r="A209" s="41" t="s">
        <v>407</v>
      </c>
      <c r="B209" s="28">
        <v>3000018853</v>
      </c>
      <c r="C209" s="42" t="s">
        <v>357</v>
      </c>
      <c r="D209" s="35" t="s">
        <v>29</v>
      </c>
      <c r="E209" s="31"/>
      <c r="F209" s="32">
        <v>3123.61</v>
      </c>
      <c r="G209" s="33">
        <f t="shared" si="14"/>
        <v>0</v>
      </c>
      <c r="H209" s="33">
        <f>ROUND('[1]RESUMO DA PROPOSTA'!$C$18*F209,2)</f>
        <v>5934.86</v>
      </c>
      <c r="I209" s="33">
        <f t="shared" si="15"/>
        <v>0</v>
      </c>
      <c r="J209" s="34"/>
    </row>
    <row r="210" spans="1:10" ht="25.5" x14ac:dyDescent="0.25">
      <c r="A210" s="41" t="s">
        <v>408</v>
      </c>
      <c r="B210" s="28">
        <v>3000018309</v>
      </c>
      <c r="C210" s="42" t="s">
        <v>359</v>
      </c>
      <c r="D210" s="35" t="s">
        <v>29</v>
      </c>
      <c r="E210" s="31"/>
      <c r="F210" s="32">
        <v>2646.52</v>
      </c>
      <c r="G210" s="33">
        <f t="shared" si="14"/>
        <v>0</v>
      </c>
      <c r="H210" s="33">
        <f>ROUND('[1]RESUMO DA PROPOSTA'!$C$18*F210,2)</f>
        <v>5028.3900000000003</v>
      </c>
      <c r="I210" s="33">
        <f t="shared" si="15"/>
        <v>0</v>
      </c>
      <c r="J210" s="34"/>
    </row>
    <row r="211" spans="1:10" ht="25.5" x14ac:dyDescent="0.25">
      <c r="A211" s="41" t="s">
        <v>409</v>
      </c>
      <c r="B211" s="28">
        <v>3000018218</v>
      </c>
      <c r="C211" s="42" t="s">
        <v>361</v>
      </c>
      <c r="D211" s="35" t="s">
        <v>29</v>
      </c>
      <c r="E211" s="31">
        <v>6</v>
      </c>
      <c r="F211" s="32">
        <v>3517.21</v>
      </c>
      <c r="G211" s="33">
        <f t="shared" si="14"/>
        <v>21103.26</v>
      </c>
      <c r="H211" s="33">
        <f>ROUND('[1]RESUMO DA PROPOSTA'!$C$18*F211,2)</f>
        <v>6682.7</v>
      </c>
      <c r="I211" s="33">
        <f t="shared" si="15"/>
        <v>40096.199999999997</v>
      </c>
      <c r="J211" s="34"/>
    </row>
    <row r="212" spans="1:10" ht="25.5" x14ac:dyDescent="0.25">
      <c r="A212" s="41" t="s">
        <v>410</v>
      </c>
      <c r="B212" s="28">
        <v>3000018774</v>
      </c>
      <c r="C212" s="42" t="s">
        <v>363</v>
      </c>
      <c r="D212" s="35" t="s">
        <v>29</v>
      </c>
      <c r="E212" s="31"/>
      <c r="F212" s="32">
        <v>3711.58</v>
      </c>
      <c r="G212" s="33">
        <f t="shared" si="14"/>
        <v>0</v>
      </c>
      <c r="H212" s="33">
        <f>ROUND('[1]RESUMO DA PROPOSTA'!$C$18*F212,2)</f>
        <v>7052</v>
      </c>
      <c r="I212" s="33">
        <f t="shared" si="15"/>
        <v>0</v>
      </c>
      <c r="J212" s="34"/>
    </row>
    <row r="213" spans="1:10" ht="25.5" x14ac:dyDescent="0.25">
      <c r="A213" s="41" t="s">
        <v>411</v>
      </c>
      <c r="B213" s="28">
        <v>3000018784</v>
      </c>
      <c r="C213" s="42" t="s">
        <v>365</v>
      </c>
      <c r="D213" s="35" t="s">
        <v>29</v>
      </c>
      <c r="E213" s="31"/>
      <c r="F213" s="32">
        <v>3079.87</v>
      </c>
      <c r="G213" s="33">
        <f t="shared" si="14"/>
        <v>0</v>
      </c>
      <c r="H213" s="33">
        <f>ROUND('[1]RESUMO DA PROPOSTA'!$C$18*F213,2)</f>
        <v>5851.75</v>
      </c>
      <c r="I213" s="33">
        <f t="shared" si="15"/>
        <v>0</v>
      </c>
      <c r="J213" s="34"/>
    </row>
    <row r="214" spans="1:10" ht="25.5" x14ac:dyDescent="0.25">
      <c r="A214" s="41" t="s">
        <v>412</v>
      </c>
      <c r="B214" s="28">
        <v>3000018794</v>
      </c>
      <c r="C214" s="42" t="s">
        <v>369</v>
      </c>
      <c r="D214" s="35" t="s">
        <v>29</v>
      </c>
      <c r="E214" s="31">
        <v>2</v>
      </c>
      <c r="F214" s="32">
        <v>2691.13</v>
      </c>
      <c r="G214" s="33">
        <f t="shared" si="14"/>
        <v>5382.26</v>
      </c>
      <c r="H214" s="33">
        <f>ROUND('[1]RESUMO DA PROPOSTA'!$C$18*F214,2)</f>
        <v>5113.1499999999996</v>
      </c>
      <c r="I214" s="33">
        <f t="shared" si="15"/>
        <v>10226.299999999999</v>
      </c>
      <c r="J214" s="34"/>
    </row>
    <row r="215" spans="1:10" x14ac:dyDescent="0.25">
      <c r="A215" s="41" t="s">
        <v>413</v>
      </c>
      <c r="B215" s="28">
        <v>5000011166</v>
      </c>
      <c r="C215" s="42" t="s">
        <v>414</v>
      </c>
      <c r="D215" s="35" t="s">
        <v>29</v>
      </c>
      <c r="E215" s="31"/>
      <c r="F215" s="32">
        <v>4612.26</v>
      </c>
      <c r="G215" s="33">
        <f t="shared" si="14"/>
        <v>0</v>
      </c>
      <c r="H215" s="33">
        <f>ROUND('[1]RESUMO DA PROPOSTA'!$C$18*F215,2)</f>
        <v>8763.2900000000009</v>
      </c>
      <c r="I215" s="33">
        <f t="shared" si="15"/>
        <v>0</v>
      </c>
      <c r="J215" s="34"/>
    </row>
    <row r="216" spans="1:10" x14ac:dyDescent="0.25">
      <c r="A216" s="41" t="s">
        <v>415</v>
      </c>
      <c r="B216" s="28">
        <v>5000011167</v>
      </c>
      <c r="C216" s="42" t="s">
        <v>416</v>
      </c>
      <c r="D216" s="35" t="s">
        <v>29</v>
      </c>
      <c r="E216" s="31"/>
      <c r="F216" s="32">
        <v>3337.82</v>
      </c>
      <c r="G216" s="33">
        <f t="shared" si="14"/>
        <v>0</v>
      </c>
      <c r="H216" s="33">
        <f>ROUND('[1]RESUMO DA PROPOSTA'!$C$18*F216,2)</f>
        <v>6341.86</v>
      </c>
      <c r="I216" s="33">
        <f t="shared" si="15"/>
        <v>0</v>
      </c>
      <c r="J216" s="34"/>
    </row>
    <row r="217" spans="1:10" ht="25.5" x14ac:dyDescent="0.25">
      <c r="A217" s="41" t="s">
        <v>417</v>
      </c>
      <c r="B217" s="28">
        <v>3000018833</v>
      </c>
      <c r="C217" s="42" t="s">
        <v>418</v>
      </c>
      <c r="D217" s="35" t="s">
        <v>29</v>
      </c>
      <c r="E217" s="31">
        <v>4</v>
      </c>
      <c r="F217" s="32">
        <v>14529.36</v>
      </c>
      <c r="G217" s="33">
        <f t="shared" si="14"/>
        <v>58117.440000000002</v>
      </c>
      <c r="H217" s="33">
        <f>ROUND('[1]RESUMO DA PROPOSTA'!$C$18*F217,2)</f>
        <v>27605.78</v>
      </c>
      <c r="I217" s="33">
        <f t="shared" si="15"/>
        <v>110423.12</v>
      </c>
      <c r="J217" s="34"/>
    </row>
    <row r="218" spans="1:10" x14ac:dyDescent="0.25">
      <c r="A218" s="41" t="s">
        <v>419</v>
      </c>
      <c r="B218" s="28">
        <v>5000011428</v>
      </c>
      <c r="C218" s="42" t="s">
        <v>420</v>
      </c>
      <c r="D218" s="35" t="s">
        <v>29</v>
      </c>
      <c r="E218" s="31"/>
      <c r="F218" s="32">
        <v>5980.54</v>
      </c>
      <c r="G218" s="33">
        <f t="shared" si="14"/>
        <v>0</v>
      </c>
      <c r="H218" s="33">
        <f>ROUND('[1]RESUMO DA PROPOSTA'!$C$18*F218,2)</f>
        <v>11363.03</v>
      </c>
      <c r="I218" s="33">
        <f t="shared" si="15"/>
        <v>0</v>
      </c>
      <c r="J218" s="34"/>
    </row>
    <row r="219" spans="1:10" x14ac:dyDescent="0.25">
      <c r="A219" s="41" t="s">
        <v>421</v>
      </c>
      <c r="B219" s="28">
        <v>3000018378</v>
      </c>
      <c r="C219" s="42" t="s">
        <v>422</v>
      </c>
      <c r="D219" s="35" t="s">
        <v>29</v>
      </c>
      <c r="E219" s="31">
        <v>2</v>
      </c>
      <c r="F219" s="32">
        <v>10574.01</v>
      </c>
      <c r="G219" s="33">
        <f t="shared" si="14"/>
        <v>21148.02</v>
      </c>
      <c r="H219" s="33">
        <f>ROUND('[1]RESUMO DA PROPOSTA'!$C$18*F219,2)</f>
        <v>20090.62</v>
      </c>
      <c r="I219" s="33">
        <f t="shared" si="15"/>
        <v>40181.24</v>
      </c>
      <c r="J219" s="34"/>
    </row>
    <row r="220" spans="1:10" x14ac:dyDescent="0.25">
      <c r="A220" s="41" t="s">
        <v>423</v>
      </c>
      <c r="B220" s="28">
        <v>5000011426</v>
      </c>
      <c r="C220" s="42" t="s">
        <v>396</v>
      </c>
      <c r="D220" s="35" t="s">
        <v>29</v>
      </c>
      <c r="E220" s="31"/>
      <c r="F220" s="32">
        <v>39186.35</v>
      </c>
      <c r="G220" s="33">
        <f t="shared" si="14"/>
        <v>0</v>
      </c>
      <c r="H220" s="33">
        <f>ROUND('[1]RESUMO DA PROPOSTA'!$C$18*F220,2)</f>
        <v>74454.070000000007</v>
      </c>
      <c r="I220" s="33">
        <f t="shared" si="15"/>
        <v>0</v>
      </c>
      <c r="J220" s="34"/>
    </row>
    <row r="221" spans="1:10" x14ac:dyDescent="0.25">
      <c r="A221" s="41" t="s">
        <v>424</v>
      </c>
      <c r="B221" s="28">
        <v>5000011425</v>
      </c>
      <c r="C221" s="42" t="s">
        <v>394</v>
      </c>
      <c r="D221" s="35" t="s">
        <v>29</v>
      </c>
      <c r="E221" s="31"/>
      <c r="F221" s="32">
        <v>30661.81</v>
      </c>
      <c r="G221" s="33">
        <f t="shared" si="14"/>
        <v>0</v>
      </c>
      <c r="H221" s="33">
        <f>ROUND('[1]RESUMO DA PROPOSTA'!$C$18*F221,2)</f>
        <v>58257.440000000002</v>
      </c>
      <c r="I221" s="33">
        <f t="shared" si="15"/>
        <v>0</v>
      </c>
      <c r="J221" s="34"/>
    </row>
    <row r="222" spans="1:10" x14ac:dyDescent="0.25">
      <c r="A222" s="41" t="s">
        <v>425</v>
      </c>
      <c r="B222" s="28">
        <v>5000006788</v>
      </c>
      <c r="C222" s="42" t="s">
        <v>266</v>
      </c>
      <c r="D222" s="35" t="s">
        <v>29</v>
      </c>
      <c r="E222" s="31"/>
      <c r="F222" s="32">
        <v>1668.95</v>
      </c>
      <c r="G222" s="33">
        <f t="shared" si="14"/>
        <v>0</v>
      </c>
      <c r="H222" s="33">
        <f>ROUND('[1]RESUMO DA PROPOSTA'!$C$18*F222,2)</f>
        <v>3171.01</v>
      </c>
      <c r="I222" s="33">
        <f t="shared" si="15"/>
        <v>0</v>
      </c>
      <c r="J222" s="34"/>
    </row>
    <row r="223" spans="1:10" x14ac:dyDescent="0.25">
      <c r="A223" s="41" t="s">
        <v>426</v>
      </c>
      <c r="B223" s="28">
        <v>5000011429</v>
      </c>
      <c r="C223" s="42" t="s">
        <v>427</v>
      </c>
      <c r="D223" s="35" t="s">
        <v>29</v>
      </c>
      <c r="E223" s="31">
        <v>2</v>
      </c>
      <c r="F223" s="32">
        <v>4383</v>
      </c>
      <c r="G223" s="33">
        <f t="shared" si="14"/>
        <v>8766</v>
      </c>
      <c r="H223" s="33">
        <f>ROUND('[1]RESUMO DA PROPOSTA'!$C$18*F223,2)</f>
        <v>8327.7000000000007</v>
      </c>
      <c r="I223" s="33">
        <f t="shared" si="15"/>
        <v>16655.400000000001</v>
      </c>
      <c r="J223" s="34"/>
    </row>
    <row r="224" spans="1:10" x14ac:dyDescent="0.25">
      <c r="A224" s="41" t="s">
        <v>428</v>
      </c>
      <c r="B224" s="28">
        <v>5000011430</v>
      </c>
      <c r="C224" s="42" t="s">
        <v>429</v>
      </c>
      <c r="D224" s="35" t="s">
        <v>29</v>
      </c>
      <c r="E224" s="31">
        <v>12</v>
      </c>
      <c r="F224" s="32">
        <v>12412.52</v>
      </c>
      <c r="G224" s="33">
        <f t="shared" si="14"/>
        <v>148950.24</v>
      </c>
      <c r="H224" s="33">
        <f>ROUND('[1]RESUMO DA PROPOSTA'!$C$18*F224,2)</f>
        <v>23583.79</v>
      </c>
      <c r="I224" s="33">
        <f t="shared" si="15"/>
        <v>283005.48</v>
      </c>
      <c r="J224" s="34"/>
    </row>
    <row r="225" spans="1:10" x14ac:dyDescent="0.25">
      <c r="A225" s="41" t="s">
        <v>430</v>
      </c>
      <c r="B225" s="28">
        <v>5000011411</v>
      </c>
      <c r="C225" s="42" t="s">
        <v>274</v>
      </c>
      <c r="D225" s="35" t="s">
        <v>29</v>
      </c>
      <c r="E225" s="31">
        <v>6</v>
      </c>
      <c r="F225" s="32">
        <v>4122.5</v>
      </c>
      <c r="G225" s="33">
        <f t="shared" si="14"/>
        <v>24735</v>
      </c>
      <c r="H225" s="33">
        <f>ROUND('[1]RESUMO DA PROPOSTA'!$C$18*F225,2)</f>
        <v>7832.75</v>
      </c>
      <c r="I225" s="33">
        <f t="shared" si="15"/>
        <v>46996.5</v>
      </c>
      <c r="J225" s="34"/>
    </row>
    <row r="226" spans="1:10" x14ac:dyDescent="0.25">
      <c r="A226" s="41" t="s">
        <v>431</v>
      </c>
      <c r="B226" s="28">
        <v>5000011431</v>
      </c>
      <c r="C226" s="42" t="s">
        <v>432</v>
      </c>
      <c r="D226" s="35" t="s">
        <v>29</v>
      </c>
      <c r="E226" s="31"/>
      <c r="F226" s="32">
        <v>5744.72</v>
      </c>
      <c r="G226" s="33">
        <f t="shared" si="14"/>
        <v>0</v>
      </c>
      <c r="H226" s="33">
        <f>ROUND('[1]RESUMO DA PROPOSTA'!$C$18*F226,2)</f>
        <v>10914.97</v>
      </c>
      <c r="I226" s="33">
        <f t="shared" si="15"/>
        <v>0</v>
      </c>
      <c r="J226" s="34"/>
    </row>
    <row r="227" spans="1:10" ht="15.75" x14ac:dyDescent="0.25">
      <c r="A227" s="43" t="s">
        <v>433</v>
      </c>
      <c r="B227" s="44"/>
      <c r="C227" s="45" t="s">
        <v>434</v>
      </c>
      <c r="D227" s="46"/>
      <c r="E227" s="47"/>
      <c r="F227" s="48" t="s">
        <v>17</v>
      </c>
      <c r="G227" s="49">
        <f>SUBTOTAL(9,G228:G261)</f>
        <v>33561.06</v>
      </c>
      <c r="H227" s="48" t="s">
        <v>17</v>
      </c>
      <c r="I227" s="49">
        <f>SUBTOTAL(9,I228:I261)</f>
        <v>63766</v>
      </c>
      <c r="J227" s="50"/>
    </row>
    <row r="228" spans="1:10" x14ac:dyDescent="0.25">
      <c r="A228" s="62" t="s">
        <v>435</v>
      </c>
      <c r="B228" s="28">
        <v>3000018910</v>
      </c>
      <c r="C228" s="42" t="s">
        <v>436</v>
      </c>
      <c r="D228" s="35" t="s">
        <v>29</v>
      </c>
      <c r="E228" s="31">
        <v>6</v>
      </c>
      <c r="F228" s="32">
        <v>3806.59</v>
      </c>
      <c r="G228" s="60">
        <f t="shared" ref="G228:G261" si="16">ROUND(E228*F228,2)</f>
        <v>22839.54</v>
      </c>
      <c r="H228" s="60">
        <f>ROUND('[1]RESUMO DA PROPOSTA'!$C$18*F228,2)</f>
        <v>7232.52</v>
      </c>
      <c r="I228" s="60">
        <f t="shared" ref="I228:I261" si="17">ROUND(E228*H228,2)</f>
        <v>43395.12</v>
      </c>
      <c r="J228" s="61"/>
    </row>
    <row r="229" spans="1:10" x14ac:dyDescent="0.25">
      <c r="A229" s="62" t="s">
        <v>437</v>
      </c>
      <c r="B229" s="28">
        <v>5000007682</v>
      </c>
      <c r="C229" s="42" t="s">
        <v>438</v>
      </c>
      <c r="D229" s="35" t="s">
        <v>178</v>
      </c>
      <c r="E229" s="31"/>
      <c r="F229" s="32">
        <v>3033.09</v>
      </c>
      <c r="G229" s="33">
        <f t="shared" si="16"/>
        <v>0</v>
      </c>
      <c r="H229" s="33">
        <f>ROUND('[1]RESUMO DA PROPOSTA'!$C$18*F229,2)</f>
        <v>5762.87</v>
      </c>
      <c r="I229" s="33">
        <f t="shared" si="17"/>
        <v>0</v>
      </c>
      <c r="J229" s="34"/>
    </row>
    <row r="230" spans="1:10" x14ac:dyDescent="0.25">
      <c r="A230" s="62" t="s">
        <v>439</v>
      </c>
      <c r="B230" s="28">
        <v>5000007682</v>
      </c>
      <c r="C230" s="42" t="s">
        <v>440</v>
      </c>
      <c r="D230" s="35" t="s">
        <v>178</v>
      </c>
      <c r="E230" s="31"/>
      <c r="F230" s="32">
        <v>3033.09</v>
      </c>
      <c r="G230" s="33">
        <f t="shared" si="16"/>
        <v>0</v>
      </c>
      <c r="H230" s="33">
        <f>ROUND('[1]RESUMO DA PROPOSTA'!$C$18*F230,2)</f>
        <v>5762.87</v>
      </c>
      <c r="I230" s="33">
        <f t="shared" si="17"/>
        <v>0</v>
      </c>
      <c r="J230" s="34"/>
    </row>
    <row r="231" spans="1:10" ht="38.25" x14ac:dyDescent="0.25">
      <c r="A231" s="62" t="s">
        <v>441</v>
      </c>
      <c r="B231" s="28">
        <v>5000007682</v>
      </c>
      <c r="C231" s="42" t="s">
        <v>442</v>
      </c>
      <c r="D231" s="35" t="s">
        <v>178</v>
      </c>
      <c r="E231" s="31"/>
      <c r="F231" s="32">
        <v>3033.09</v>
      </c>
      <c r="G231" s="33">
        <f t="shared" si="16"/>
        <v>0</v>
      </c>
      <c r="H231" s="33">
        <f>ROUND('[1]RESUMO DA PROPOSTA'!$C$18*F231,2)</f>
        <v>5762.87</v>
      </c>
      <c r="I231" s="33">
        <f t="shared" si="17"/>
        <v>0</v>
      </c>
      <c r="J231" s="34"/>
    </row>
    <row r="232" spans="1:10" x14ac:dyDescent="0.25">
      <c r="A232" s="62" t="s">
        <v>443</v>
      </c>
      <c r="B232" s="28">
        <v>5000011168</v>
      </c>
      <c r="C232" s="42" t="s">
        <v>444</v>
      </c>
      <c r="D232" s="35" t="s">
        <v>29</v>
      </c>
      <c r="E232" s="31"/>
      <c r="F232" s="32">
        <v>2697.01</v>
      </c>
      <c r="G232" s="33">
        <f t="shared" si="16"/>
        <v>0</v>
      </c>
      <c r="H232" s="33">
        <f>ROUND('[1]RESUMO DA PROPOSTA'!$C$18*F232,2)</f>
        <v>5124.32</v>
      </c>
      <c r="I232" s="33">
        <f t="shared" si="17"/>
        <v>0</v>
      </c>
      <c r="J232" s="34"/>
    </row>
    <row r="233" spans="1:10" x14ac:dyDescent="0.25">
      <c r="A233" s="62" t="s">
        <v>445</v>
      </c>
      <c r="B233" s="28">
        <v>5000011432</v>
      </c>
      <c r="C233" s="42" t="s">
        <v>446</v>
      </c>
      <c r="D233" s="35" t="s">
        <v>29</v>
      </c>
      <c r="E233" s="31"/>
      <c r="F233" s="32">
        <v>27487.05</v>
      </c>
      <c r="G233" s="33">
        <f t="shared" si="16"/>
        <v>0</v>
      </c>
      <c r="H233" s="33">
        <f>ROUND('[1]RESUMO DA PROPOSTA'!$C$18*F233,2)</f>
        <v>52225.4</v>
      </c>
      <c r="I233" s="33">
        <f t="shared" si="17"/>
        <v>0</v>
      </c>
      <c r="J233" s="34"/>
    </row>
    <row r="234" spans="1:10" x14ac:dyDescent="0.25">
      <c r="A234" s="62" t="s">
        <v>447</v>
      </c>
      <c r="B234" s="28">
        <v>5000011433</v>
      </c>
      <c r="C234" s="42" t="s">
        <v>448</v>
      </c>
      <c r="D234" s="35" t="s">
        <v>120</v>
      </c>
      <c r="E234" s="31"/>
      <c r="F234" s="32">
        <v>5199.68</v>
      </c>
      <c r="G234" s="33">
        <f t="shared" si="16"/>
        <v>0</v>
      </c>
      <c r="H234" s="33">
        <f>ROUND('[1]RESUMO DA PROPOSTA'!$C$18*F234,2)</f>
        <v>9879.39</v>
      </c>
      <c r="I234" s="33">
        <f t="shared" si="17"/>
        <v>0</v>
      </c>
      <c r="J234" s="34"/>
    </row>
    <row r="235" spans="1:10" x14ac:dyDescent="0.25">
      <c r="A235" s="62" t="s">
        <v>449</v>
      </c>
      <c r="B235" s="28">
        <v>5000011434</v>
      </c>
      <c r="C235" s="42" t="s">
        <v>450</v>
      </c>
      <c r="D235" s="35" t="s">
        <v>29</v>
      </c>
      <c r="E235" s="31"/>
      <c r="F235" s="32">
        <v>19027.75</v>
      </c>
      <c r="G235" s="33">
        <f t="shared" si="16"/>
        <v>0</v>
      </c>
      <c r="H235" s="33">
        <f>ROUND('[1]RESUMO DA PROPOSTA'!$C$18*F235,2)</f>
        <v>36152.730000000003</v>
      </c>
      <c r="I235" s="33">
        <f t="shared" si="17"/>
        <v>0</v>
      </c>
      <c r="J235" s="34"/>
    </row>
    <row r="236" spans="1:10" x14ac:dyDescent="0.25">
      <c r="A236" s="62" t="s">
        <v>451</v>
      </c>
      <c r="B236" s="28">
        <v>5000011435</v>
      </c>
      <c r="C236" s="42" t="s">
        <v>452</v>
      </c>
      <c r="D236" s="35" t="s">
        <v>29</v>
      </c>
      <c r="E236" s="31"/>
      <c r="F236" s="32">
        <v>3664.79</v>
      </c>
      <c r="G236" s="33">
        <f t="shared" si="16"/>
        <v>0</v>
      </c>
      <c r="H236" s="33">
        <f>ROUND('[1]RESUMO DA PROPOSTA'!$C$18*F236,2)</f>
        <v>6963.1</v>
      </c>
      <c r="I236" s="33">
        <f t="shared" si="17"/>
        <v>0</v>
      </c>
      <c r="J236" s="34"/>
    </row>
    <row r="237" spans="1:10" x14ac:dyDescent="0.25">
      <c r="A237" s="62" t="s">
        <v>453</v>
      </c>
      <c r="B237" s="28">
        <v>5000011436</v>
      </c>
      <c r="C237" s="42" t="s">
        <v>454</v>
      </c>
      <c r="D237" s="35" t="s">
        <v>29</v>
      </c>
      <c r="E237" s="31">
        <v>2</v>
      </c>
      <c r="F237" s="32">
        <v>5360.76</v>
      </c>
      <c r="G237" s="33">
        <f t="shared" si="16"/>
        <v>10721.52</v>
      </c>
      <c r="H237" s="33">
        <f>ROUND('[1]RESUMO DA PROPOSTA'!$C$18*F237,2)</f>
        <v>10185.44</v>
      </c>
      <c r="I237" s="33">
        <f t="shared" si="17"/>
        <v>20370.88</v>
      </c>
      <c r="J237" s="34"/>
    </row>
    <row r="238" spans="1:10" x14ac:dyDescent="0.25">
      <c r="A238" s="62" t="s">
        <v>455</v>
      </c>
      <c r="B238" s="28">
        <v>5000011437</v>
      </c>
      <c r="C238" s="42" t="s">
        <v>456</v>
      </c>
      <c r="D238" s="35" t="s">
        <v>96</v>
      </c>
      <c r="E238" s="31"/>
      <c r="F238" s="32">
        <v>110026.17</v>
      </c>
      <c r="G238" s="33">
        <f t="shared" si="16"/>
        <v>0</v>
      </c>
      <c r="H238" s="33">
        <f>ROUND('[1]RESUMO DA PROPOSTA'!$C$18*F238,2)</f>
        <v>209049.72</v>
      </c>
      <c r="I238" s="33">
        <f t="shared" si="17"/>
        <v>0</v>
      </c>
      <c r="J238" s="34"/>
    </row>
    <row r="239" spans="1:10" x14ac:dyDescent="0.25">
      <c r="A239" s="62" t="s">
        <v>457</v>
      </c>
      <c r="B239" s="28">
        <v>5000007566</v>
      </c>
      <c r="C239" s="42" t="s">
        <v>458</v>
      </c>
      <c r="D239" s="35" t="s">
        <v>178</v>
      </c>
      <c r="E239" s="31"/>
      <c r="F239" s="32">
        <v>150.94999999999999</v>
      </c>
      <c r="G239" s="33">
        <f t="shared" si="16"/>
        <v>0</v>
      </c>
      <c r="H239" s="33">
        <f>ROUND('[1]RESUMO DA PROPOSTA'!$C$18*F239,2)</f>
        <v>286.81</v>
      </c>
      <c r="I239" s="33">
        <f t="shared" si="17"/>
        <v>0</v>
      </c>
      <c r="J239" s="34"/>
    </row>
    <row r="240" spans="1:10" x14ac:dyDescent="0.25">
      <c r="A240" s="62" t="s">
        <v>459</v>
      </c>
      <c r="B240" s="28">
        <v>5000007428</v>
      </c>
      <c r="C240" s="42" t="s">
        <v>460</v>
      </c>
      <c r="D240" s="35" t="s">
        <v>129</v>
      </c>
      <c r="E240" s="31"/>
      <c r="F240" s="32">
        <v>310.33</v>
      </c>
      <c r="G240" s="33">
        <f t="shared" si="16"/>
        <v>0</v>
      </c>
      <c r="H240" s="33">
        <f>ROUND('[1]RESUMO DA PROPOSTA'!$C$18*F240,2)</f>
        <v>589.63</v>
      </c>
      <c r="I240" s="33">
        <f t="shared" si="17"/>
        <v>0</v>
      </c>
      <c r="J240" s="34"/>
    </row>
    <row r="241" spans="1:10" x14ac:dyDescent="0.25">
      <c r="A241" s="62" t="s">
        <v>461</v>
      </c>
      <c r="B241" s="28">
        <v>5000007431</v>
      </c>
      <c r="C241" s="42" t="s">
        <v>462</v>
      </c>
      <c r="D241" s="35" t="s">
        <v>463</v>
      </c>
      <c r="E241" s="31"/>
      <c r="F241" s="32">
        <v>11.91</v>
      </c>
      <c r="G241" s="33">
        <f t="shared" si="16"/>
        <v>0</v>
      </c>
      <c r="H241" s="33">
        <f>ROUND('[1]RESUMO DA PROPOSTA'!$C$18*F241,2)</f>
        <v>22.63</v>
      </c>
      <c r="I241" s="33">
        <f t="shared" si="17"/>
        <v>0</v>
      </c>
      <c r="J241" s="34"/>
    </row>
    <row r="242" spans="1:10" x14ac:dyDescent="0.25">
      <c r="A242" s="62" t="s">
        <v>464</v>
      </c>
      <c r="B242" s="28">
        <v>5000007432</v>
      </c>
      <c r="C242" s="42" t="s">
        <v>465</v>
      </c>
      <c r="D242" s="35" t="s">
        <v>463</v>
      </c>
      <c r="E242" s="31"/>
      <c r="F242" s="32">
        <v>7.61</v>
      </c>
      <c r="G242" s="33">
        <f t="shared" si="16"/>
        <v>0</v>
      </c>
      <c r="H242" s="33">
        <f>ROUND('[1]RESUMO DA PROPOSTA'!$C$18*F242,2)</f>
        <v>14.46</v>
      </c>
      <c r="I242" s="33">
        <f t="shared" si="17"/>
        <v>0</v>
      </c>
      <c r="J242" s="34"/>
    </row>
    <row r="243" spans="1:10" x14ac:dyDescent="0.25">
      <c r="A243" s="62" t="s">
        <v>466</v>
      </c>
      <c r="B243" s="28">
        <v>5000007623</v>
      </c>
      <c r="C243" s="42" t="s">
        <v>467</v>
      </c>
      <c r="D243" s="35" t="s">
        <v>178</v>
      </c>
      <c r="E243" s="31"/>
      <c r="F243" s="32">
        <v>953.14</v>
      </c>
      <c r="G243" s="33">
        <f t="shared" si="16"/>
        <v>0</v>
      </c>
      <c r="H243" s="33">
        <f>ROUND('[1]RESUMO DA PROPOSTA'!$C$18*F243,2)</f>
        <v>1810.97</v>
      </c>
      <c r="I243" s="33">
        <f t="shared" si="17"/>
        <v>0</v>
      </c>
      <c r="J243" s="34"/>
    </row>
    <row r="244" spans="1:10" x14ac:dyDescent="0.25">
      <c r="A244" s="62" t="s">
        <v>468</v>
      </c>
      <c r="B244" s="28">
        <v>5000007430</v>
      </c>
      <c r="C244" s="42" t="s">
        <v>469</v>
      </c>
      <c r="D244" s="35" t="s">
        <v>178</v>
      </c>
      <c r="E244" s="31"/>
      <c r="F244" s="32">
        <v>985.87</v>
      </c>
      <c r="G244" s="33">
        <f t="shared" si="16"/>
        <v>0</v>
      </c>
      <c r="H244" s="33">
        <f>ROUND('[1]RESUMO DA PROPOSTA'!$C$18*F244,2)</f>
        <v>1873.15</v>
      </c>
      <c r="I244" s="33">
        <f t="shared" si="17"/>
        <v>0</v>
      </c>
      <c r="J244" s="34"/>
    </row>
    <row r="245" spans="1:10" x14ac:dyDescent="0.25">
      <c r="A245" s="62" t="s">
        <v>470</v>
      </c>
      <c r="B245" s="28">
        <v>5000007636</v>
      </c>
      <c r="C245" s="42" t="s">
        <v>471</v>
      </c>
      <c r="D245" s="35" t="s">
        <v>178</v>
      </c>
      <c r="E245" s="31"/>
      <c r="F245" s="64">
        <v>555</v>
      </c>
      <c r="G245" s="60">
        <f t="shared" si="16"/>
        <v>0</v>
      </c>
      <c r="H245" s="60">
        <f>ROUND('[1]RESUMO DA PROPOSTA'!$C$18*F245,2)</f>
        <v>1054.5</v>
      </c>
      <c r="I245" s="60">
        <f t="shared" si="17"/>
        <v>0</v>
      </c>
      <c r="J245" s="61"/>
    </row>
    <row r="246" spans="1:10" x14ac:dyDescent="0.25">
      <c r="A246" s="62" t="s">
        <v>472</v>
      </c>
      <c r="B246" s="28"/>
      <c r="C246" s="42" t="s">
        <v>473</v>
      </c>
      <c r="D246" s="35" t="s">
        <v>29</v>
      </c>
      <c r="E246" s="31"/>
      <c r="F246" s="32">
        <v>13403.004765</v>
      </c>
      <c r="G246" s="60">
        <f t="shared" si="16"/>
        <v>0</v>
      </c>
      <c r="H246" s="60">
        <f>ROUND('[1]RESUMO DA PROPOSTA'!$C$18*F246,2)</f>
        <v>25465.71</v>
      </c>
      <c r="I246" s="60">
        <f t="shared" si="17"/>
        <v>0</v>
      </c>
      <c r="J246" s="34"/>
    </row>
    <row r="247" spans="1:10" x14ac:dyDescent="0.25">
      <c r="A247" s="62" t="s">
        <v>474</v>
      </c>
      <c r="B247" s="28"/>
      <c r="C247" s="42" t="s">
        <v>475</v>
      </c>
      <c r="D247" s="35" t="s">
        <v>29</v>
      </c>
      <c r="E247" s="31"/>
      <c r="F247" s="32">
        <v>62991.401062499994</v>
      </c>
      <c r="G247" s="60">
        <f t="shared" si="16"/>
        <v>0</v>
      </c>
      <c r="H247" s="60">
        <f>ROUND('[1]RESUMO DA PROPOSTA'!$C$18*F247,2)</f>
        <v>119683.66</v>
      </c>
      <c r="I247" s="60">
        <f t="shared" si="17"/>
        <v>0</v>
      </c>
      <c r="J247" s="34"/>
    </row>
    <row r="248" spans="1:10" x14ac:dyDescent="0.25">
      <c r="A248" s="62" t="s">
        <v>476</v>
      </c>
      <c r="B248" s="28"/>
      <c r="C248" s="42" t="s">
        <v>477</v>
      </c>
      <c r="D248" s="35" t="s">
        <v>29</v>
      </c>
      <c r="E248" s="31"/>
      <c r="F248" s="32">
        <v>47133.9686</v>
      </c>
      <c r="G248" s="60">
        <f t="shared" si="16"/>
        <v>0</v>
      </c>
      <c r="H248" s="60">
        <f>ROUND('[1]RESUMO DA PROPOSTA'!$C$18*F248,2)</f>
        <v>89554.54</v>
      </c>
      <c r="I248" s="60">
        <f t="shared" si="17"/>
        <v>0</v>
      </c>
      <c r="J248" s="34"/>
    </row>
    <row r="249" spans="1:10" x14ac:dyDescent="0.25">
      <c r="A249" s="62" t="s">
        <v>478</v>
      </c>
      <c r="B249" s="28"/>
      <c r="C249" s="42" t="s">
        <v>479</v>
      </c>
      <c r="D249" s="35" t="s">
        <v>29</v>
      </c>
      <c r="E249" s="31"/>
      <c r="F249" s="32">
        <v>62991.401062499994</v>
      </c>
      <c r="G249" s="60">
        <f t="shared" si="16"/>
        <v>0</v>
      </c>
      <c r="H249" s="60">
        <f>ROUND('[1]RESUMO DA PROPOSTA'!$C$18*F249,2)</f>
        <v>119683.66</v>
      </c>
      <c r="I249" s="60">
        <f t="shared" si="17"/>
        <v>0</v>
      </c>
      <c r="J249" s="34"/>
    </row>
    <row r="250" spans="1:10" x14ac:dyDescent="0.25">
      <c r="A250" s="62" t="s">
        <v>480</v>
      </c>
      <c r="B250" s="28"/>
      <c r="C250" s="42" t="s">
        <v>481</v>
      </c>
      <c r="D250" s="35" t="s">
        <v>29</v>
      </c>
      <c r="E250" s="31"/>
      <c r="F250" s="32">
        <v>47133.9686</v>
      </c>
      <c r="G250" s="60">
        <f t="shared" si="16"/>
        <v>0</v>
      </c>
      <c r="H250" s="60">
        <f>ROUND('[1]RESUMO DA PROPOSTA'!$C$18*F250,2)</f>
        <v>89554.54</v>
      </c>
      <c r="I250" s="60">
        <f t="shared" si="17"/>
        <v>0</v>
      </c>
      <c r="J250" s="34"/>
    </row>
    <row r="251" spans="1:10" x14ac:dyDescent="0.25">
      <c r="A251" s="62" t="s">
        <v>482</v>
      </c>
      <c r="B251" s="28"/>
      <c r="C251" s="42" t="s">
        <v>483</v>
      </c>
      <c r="D251" s="35" t="s">
        <v>29</v>
      </c>
      <c r="E251" s="31"/>
      <c r="F251" s="32">
        <v>11250.53</v>
      </c>
      <c r="G251" s="60">
        <f t="shared" si="16"/>
        <v>0</v>
      </c>
      <c r="H251" s="60">
        <f>ROUND('[1]RESUMO DA PROPOSTA'!$C$18*F251,2)</f>
        <v>21376.01</v>
      </c>
      <c r="I251" s="60">
        <f t="shared" si="17"/>
        <v>0</v>
      </c>
      <c r="J251" s="34"/>
    </row>
    <row r="252" spans="1:10" x14ac:dyDescent="0.25">
      <c r="A252" s="62" t="s">
        <v>484</v>
      </c>
      <c r="B252" s="28"/>
      <c r="C252" s="42" t="s">
        <v>485</v>
      </c>
      <c r="D252" s="35" t="s">
        <v>29</v>
      </c>
      <c r="E252" s="31"/>
      <c r="F252" s="32">
        <v>5521.0499999999993</v>
      </c>
      <c r="G252" s="60">
        <f t="shared" si="16"/>
        <v>0</v>
      </c>
      <c r="H252" s="60">
        <f>ROUND('[1]RESUMO DA PROPOSTA'!$C$18*F252,2)</f>
        <v>10490</v>
      </c>
      <c r="I252" s="60">
        <f t="shared" si="17"/>
        <v>0</v>
      </c>
      <c r="J252" s="34"/>
    </row>
    <row r="253" spans="1:10" x14ac:dyDescent="0.25">
      <c r="A253" s="62" t="s">
        <v>486</v>
      </c>
      <c r="B253" s="28"/>
      <c r="C253" s="42" t="s">
        <v>483</v>
      </c>
      <c r="D253" s="35" t="s">
        <v>29</v>
      </c>
      <c r="E253" s="31"/>
      <c r="F253" s="32">
        <v>11250.53</v>
      </c>
      <c r="G253" s="60">
        <f t="shared" si="16"/>
        <v>0</v>
      </c>
      <c r="H253" s="60">
        <f>ROUND('[1]RESUMO DA PROPOSTA'!$C$18*F253,2)</f>
        <v>21376.01</v>
      </c>
      <c r="I253" s="60">
        <f t="shared" si="17"/>
        <v>0</v>
      </c>
      <c r="J253" s="34"/>
    </row>
    <row r="254" spans="1:10" x14ac:dyDescent="0.25">
      <c r="A254" s="62" t="s">
        <v>487</v>
      </c>
      <c r="B254" s="28"/>
      <c r="C254" s="42" t="s">
        <v>488</v>
      </c>
      <c r="D254" s="35" t="s">
        <v>29</v>
      </c>
      <c r="E254" s="31"/>
      <c r="F254" s="32">
        <v>471.03</v>
      </c>
      <c r="G254" s="60">
        <f t="shared" si="16"/>
        <v>0</v>
      </c>
      <c r="H254" s="60">
        <f>ROUND('[1]RESUMO DA PROPOSTA'!$C$18*F254,2)</f>
        <v>894.96</v>
      </c>
      <c r="I254" s="60">
        <f t="shared" si="17"/>
        <v>0</v>
      </c>
      <c r="J254" s="34"/>
    </row>
    <row r="255" spans="1:10" x14ac:dyDescent="0.25">
      <c r="A255" s="62" t="s">
        <v>489</v>
      </c>
      <c r="B255" s="28"/>
      <c r="C255" s="42" t="s">
        <v>490</v>
      </c>
      <c r="D255" s="35" t="s">
        <v>29</v>
      </c>
      <c r="E255" s="31"/>
      <c r="F255" s="32">
        <v>642.05999999999995</v>
      </c>
      <c r="G255" s="60">
        <f t="shared" si="16"/>
        <v>0</v>
      </c>
      <c r="H255" s="60">
        <f>ROUND('[1]RESUMO DA PROPOSTA'!$C$18*F255,2)</f>
        <v>1219.9100000000001</v>
      </c>
      <c r="I255" s="60">
        <f t="shared" si="17"/>
        <v>0</v>
      </c>
      <c r="J255" s="34"/>
    </row>
    <row r="256" spans="1:10" x14ac:dyDescent="0.25">
      <c r="A256" s="62" t="s">
        <v>491</v>
      </c>
      <c r="B256" s="28"/>
      <c r="C256" s="42" t="s">
        <v>492</v>
      </c>
      <c r="D256" s="35" t="s">
        <v>29</v>
      </c>
      <c r="E256" s="31"/>
      <c r="F256" s="32">
        <v>18211.64</v>
      </c>
      <c r="G256" s="60">
        <f t="shared" si="16"/>
        <v>0</v>
      </c>
      <c r="H256" s="60">
        <f>ROUND('[1]RESUMO DA PROPOSTA'!$C$18*F256,2)</f>
        <v>34602.120000000003</v>
      </c>
      <c r="I256" s="60">
        <f t="shared" si="17"/>
        <v>0</v>
      </c>
      <c r="J256" s="34"/>
    </row>
    <row r="257" spans="1:10" x14ac:dyDescent="0.25">
      <c r="A257" s="62" t="s">
        <v>493</v>
      </c>
      <c r="B257" s="28"/>
      <c r="C257" s="42" t="s">
        <v>494</v>
      </c>
      <c r="D257" s="35" t="s">
        <v>29</v>
      </c>
      <c r="E257" s="31"/>
      <c r="F257" s="32">
        <v>84890.128100000016</v>
      </c>
      <c r="G257" s="60">
        <f t="shared" si="16"/>
        <v>0</v>
      </c>
      <c r="H257" s="60">
        <f>ROUND('[1]RESUMO DA PROPOSTA'!$C$18*F257,2)</f>
        <v>161291.24</v>
      </c>
      <c r="I257" s="60">
        <f t="shared" si="17"/>
        <v>0</v>
      </c>
      <c r="J257" s="34"/>
    </row>
    <row r="258" spans="1:10" x14ac:dyDescent="0.25">
      <c r="A258" s="62" t="s">
        <v>495</v>
      </c>
      <c r="B258" s="28"/>
      <c r="C258" s="42" t="s">
        <v>496</v>
      </c>
      <c r="D258" s="35" t="s">
        <v>29</v>
      </c>
      <c r="E258" s="31"/>
      <c r="F258" s="32">
        <v>62947.828099999999</v>
      </c>
      <c r="G258" s="60">
        <f t="shared" si="16"/>
        <v>0</v>
      </c>
      <c r="H258" s="60">
        <f>ROUND('[1]RESUMO DA PROPOSTA'!$C$18*F258,2)</f>
        <v>119600.87</v>
      </c>
      <c r="I258" s="60">
        <f t="shared" si="17"/>
        <v>0</v>
      </c>
      <c r="J258" s="34"/>
    </row>
    <row r="259" spans="1:10" x14ac:dyDescent="0.25">
      <c r="A259" s="62" t="s">
        <v>497</v>
      </c>
      <c r="B259" s="28"/>
      <c r="C259" s="42" t="s">
        <v>498</v>
      </c>
      <c r="D259" s="35" t="s">
        <v>29</v>
      </c>
      <c r="E259" s="31"/>
      <c r="F259" s="32">
        <v>19044.91</v>
      </c>
      <c r="G259" s="60">
        <f t="shared" si="16"/>
        <v>0</v>
      </c>
      <c r="H259" s="60">
        <f>ROUND('[1]RESUMO DA PROPOSTA'!$C$18*F259,2)</f>
        <v>36185.33</v>
      </c>
      <c r="I259" s="60">
        <f t="shared" si="17"/>
        <v>0</v>
      </c>
      <c r="J259" s="34"/>
    </row>
    <row r="260" spans="1:10" x14ac:dyDescent="0.25">
      <c r="A260" s="62" t="s">
        <v>499</v>
      </c>
      <c r="B260" s="28"/>
      <c r="C260" s="42" t="s">
        <v>500</v>
      </c>
      <c r="D260" s="35" t="s">
        <v>29</v>
      </c>
      <c r="E260" s="31"/>
      <c r="F260" s="32">
        <v>19145</v>
      </c>
      <c r="G260" s="60">
        <f t="shared" si="16"/>
        <v>0</v>
      </c>
      <c r="H260" s="60">
        <f>ROUND('[1]RESUMO DA PROPOSTA'!$C$18*F260,2)</f>
        <v>36375.5</v>
      </c>
      <c r="I260" s="60">
        <f t="shared" si="17"/>
        <v>0</v>
      </c>
      <c r="J260" s="34"/>
    </row>
    <row r="261" spans="1:10" x14ac:dyDescent="0.25">
      <c r="A261" s="62" t="s">
        <v>501</v>
      </c>
      <c r="B261" s="28"/>
      <c r="C261" s="42" t="s">
        <v>502</v>
      </c>
      <c r="D261" s="35" t="s">
        <v>29</v>
      </c>
      <c r="E261" s="31"/>
      <c r="F261" s="32">
        <v>7936.420000000001</v>
      </c>
      <c r="G261" s="60">
        <f t="shared" si="16"/>
        <v>0</v>
      </c>
      <c r="H261" s="60">
        <f>ROUND('[1]RESUMO DA PROPOSTA'!$C$18*F261,2)</f>
        <v>15079.2</v>
      </c>
      <c r="I261" s="60">
        <f t="shared" si="17"/>
        <v>0</v>
      </c>
      <c r="J261" s="34"/>
    </row>
    <row r="262" spans="1:10" ht="15.75" x14ac:dyDescent="0.25">
      <c r="A262" s="43" t="s">
        <v>503</v>
      </c>
      <c r="B262" s="44"/>
      <c r="C262" s="45" t="s">
        <v>504</v>
      </c>
      <c r="D262" s="46"/>
      <c r="E262" s="47"/>
      <c r="F262" s="48" t="s">
        <v>17</v>
      </c>
      <c r="G262" s="49">
        <f>SUBTOTAL(9,G263:G323)</f>
        <v>0</v>
      </c>
      <c r="H262" s="48" t="s">
        <v>17</v>
      </c>
      <c r="I262" s="49">
        <f>SUBTOTAL(9,I263:I323)</f>
        <v>0</v>
      </c>
      <c r="J262" s="50"/>
    </row>
    <row r="263" spans="1:10" x14ac:dyDescent="0.25">
      <c r="A263" s="41" t="s">
        <v>505</v>
      </c>
      <c r="B263" s="28">
        <v>5000011169</v>
      </c>
      <c r="C263" s="42" t="s">
        <v>506</v>
      </c>
      <c r="D263" s="35" t="s">
        <v>178</v>
      </c>
      <c r="E263" s="31"/>
      <c r="F263" s="32">
        <v>5595.75</v>
      </c>
      <c r="G263" s="33">
        <f t="shared" ref="G263:G323" si="18">ROUND(E263*F263,2)</f>
        <v>0</v>
      </c>
      <c r="H263" s="33">
        <f>ROUND('[1]RESUMO DA PROPOSTA'!$C$18*F263,2)</f>
        <v>10631.93</v>
      </c>
      <c r="I263" s="33">
        <f t="shared" ref="I263:I323" si="19">ROUND(E263*H263,2)</f>
        <v>0</v>
      </c>
      <c r="J263" s="34"/>
    </row>
    <row r="264" spans="1:10" x14ac:dyDescent="0.25">
      <c r="A264" s="41" t="s">
        <v>507</v>
      </c>
      <c r="B264" s="28">
        <v>5000011170</v>
      </c>
      <c r="C264" s="42" t="s">
        <v>508</v>
      </c>
      <c r="D264" s="35" t="s">
        <v>129</v>
      </c>
      <c r="E264" s="31"/>
      <c r="F264" s="32">
        <v>11.84</v>
      </c>
      <c r="G264" s="33">
        <f t="shared" si="18"/>
        <v>0</v>
      </c>
      <c r="H264" s="33">
        <f>ROUND('[1]RESUMO DA PROPOSTA'!$C$18*F264,2)</f>
        <v>22.5</v>
      </c>
      <c r="I264" s="33">
        <f t="shared" si="19"/>
        <v>0</v>
      </c>
      <c r="J264" s="34"/>
    </row>
    <row r="265" spans="1:10" x14ac:dyDescent="0.25">
      <c r="A265" s="41" t="s">
        <v>509</v>
      </c>
      <c r="B265" s="28">
        <v>5000011171</v>
      </c>
      <c r="C265" s="42" t="s">
        <v>510</v>
      </c>
      <c r="D265" s="35" t="s">
        <v>129</v>
      </c>
      <c r="E265" s="31"/>
      <c r="F265" s="32">
        <v>10.28</v>
      </c>
      <c r="G265" s="33">
        <f t="shared" si="18"/>
        <v>0</v>
      </c>
      <c r="H265" s="33">
        <f>ROUND('[1]RESUMO DA PROPOSTA'!$C$18*F265,2)</f>
        <v>19.53</v>
      </c>
      <c r="I265" s="33">
        <f t="shared" si="19"/>
        <v>0</v>
      </c>
      <c r="J265" s="34"/>
    </row>
    <row r="266" spans="1:10" x14ac:dyDescent="0.25">
      <c r="A266" s="41" t="s">
        <v>511</v>
      </c>
      <c r="B266" s="28">
        <v>5000011172</v>
      </c>
      <c r="C266" s="42" t="s">
        <v>512</v>
      </c>
      <c r="D266" s="35" t="s">
        <v>129</v>
      </c>
      <c r="E266" s="31"/>
      <c r="F266" s="32">
        <v>51.57</v>
      </c>
      <c r="G266" s="33">
        <f t="shared" si="18"/>
        <v>0</v>
      </c>
      <c r="H266" s="33">
        <f>ROUND('[1]RESUMO DA PROPOSTA'!$C$18*F266,2)</f>
        <v>97.98</v>
      </c>
      <c r="I266" s="33">
        <f t="shared" si="19"/>
        <v>0</v>
      </c>
      <c r="J266" s="34"/>
    </row>
    <row r="267" spans="1:10" x14ac:dyDescent="0.25">
      <c r="A267" s="41" t="s">
        <v>513</v>
      </c>
      <c r="B267" s="28">
        <v>5000011173</v>
      </c>
      <c r="C267" s="42" t="s">
        <v>514</v>
      </c>
      <c r="D267" s="35" t="s">
        <v>120</v>
      </c>
      <c r="E267" s="31"/>
      <c r="F267" s="32">
        <v>97.26</v>
      </c>
      <c r="G267" s="33">
        <f t="shared" si="18"/>
        <v>0</v>
      </c>
      <c r="H267" s="33">
        <f>ROUND('[1]RESUMO DA PROPOSTA'!$C$18*F267,2)</f>
        <v>184.79</v>
      </c>
      <c r="I267" s="33">
        <f t="shared" si="19"/>
        <v>0</v>
      </c>
      <c r="J267" s="34"/>
    </row>
    <row r="268" spans="1:10" x14ac:dyDescent="0.25">
      <c r="A268" s="41" t="s">
        <v>515</v>
      </c>
      <c r="B268" s="28">
        <v>5000011174</v>
      </c>
      <c r="C268" s="42" t="s">
        <v>516</v>
      </c>
      <c r="D268" s="35" t="s">
        <v>129</v>
      </c>
      <c r="E268" s="31"/>
      <c r="F268" s="32">
        <v>179.25</v>
      </c>
      <c r="G268" s="33">
        <f t="shared" si="18"/>
        <v>0</v>
      </c>
      <c r="H268" s="33">
        <f>ROUND('[1]RESUMO DA PROPOSTA'!$C$18*F268,2)</f>
        <v>340.58</v>
      </c>
      <c r="I268" s="33">
        <f t="shared" si="19"/>
        <v>0</v>
      </c>
      <c r="J268" s="34"/>
    </row>
    <row r="269" spans="1:10" x14ac:dyDescent="0.25">
      <c r="A269" s="41" t="s">
        <v>517</v>
      </c>
      <c r="B269" s="28">
        <v>5000011175</v>
      </c>
      <c r="C269" s="42" t="s">
        <v>518</v>
      </c>
      <c r="D269" s="35" t="s">
        <v>120</v>
      </c>
      <c r="E269" s="31"/>
      <c r="F269" s="32">
        <v>1419.18</v>
      </c>
      <c r="G269" s="33">
        <f t="shared" si="18"/>
        <v>0</v>
      </c>
      <c r="H269" s="33">
        <f>ROUND('[1]RESUMO DA PROPOSTA'!$C$18*F269,2)</f>
        <v>2696.44</v>
      </c>
      <c r="I269" s="33">
        <f t="shared" si="19"/>
        <v>0</v>
      </c>
      <c r="J269" s="34"/>
    </row>
    <row r="270" spans="1:10" x14ac:dyDescent="0.25">
      <c r="A270" s="41" t="s">
        <v>519</v>
      </c>
      <c r="B270" s="28">
        <v>5000011176</v>
      </c>
      <c r="C270" s="42" t="s">
        <v>520</v>
      </c>
      <c r="D270" s="35" t="s">
        <v>29</v>
      </c>
      <c r="E270" s="31"/>
      <c r="F270" s="32">
        <v>2693.28</v>
      </c>
      <c r="G270" s="33">
        <f t="shared" si="18"/>
        <v>0</v>
      </c>
      <c r="H270" s="33">
        <f>ROUND('[1]RESUMO DA PROPOSTA'!$C$18*F270,2)</f>
        <v>5117.2299999999996</v>
      </c>
      <c r="I270" s="33">
        <f t="shared" si="19"/>
        <v>0</v>
      </c>
      <c r="J270" s="34"/>
    </row>
    <row r="271" spans="1:10" x14ac:dyDescent="0.25">
      <c r="A271" s="41" t="s">
        <v>521</v>
      </c>
      <c r="B271" s="28">
        <v>5000011177</v>
      </c>
      <c r="C271" s="42" t="s">
        <v>522</v>
      </c>
      <c r="D271" s="35" t="s">
        <v>29</v>
      </c>
      <c r="E271" s="31"/>
      <c r="F271" s="32">
        <v>2584.7600000000002</v>
      </c>
      <c r="G271" s="33">
        <f t="shared" si="18"/>
        <v>0</v>
      </c>
      <c r="H271" s="33">
        <f>ROUND('[1]RESUMO DA PROPOSTA'!$C$18*F271,2)</f>
        <v>4911.04</v>
      </c>
      <c r="I271" s="33">
        <f t="shared" si="19"/>
        <v>0</v>
      </c>
      <c r="J271" s="34"/>
    </row>
    <row r="272" spans="1:10" x14ac:dyDescent="0.25">
      <c r="A272" s="41" t="s">
        <v>523</v>
      </c>
      <c r="B272" s="28">
        <v>5000011178</v>
      </c>
      <c r="C272" s="42" t="s">
        <v>524</v>
      </c>
      <c r="D272" s="35" t="s">
        <v>129</v>
      </c>
      <c r="E272" s="31"/>
      <c r="F272" s="32">
        <v>520.26</v>
      </c>
      <c r="G272" s="33">
        <f t="shared" si="18"/>
        <v>0</v>
      </c>
      <c r="H272" s="33">
        <f>ROUND('[1]RESUMO DA PROPOSTA'!$C$18*F272,2)</f>
        <v>988.49</v>
      </c>
      <c r="I272" s="33">
        <f t="shared" si="19"/>
        <v>0</v>
      </c>
      <c r="J272" s="34"/>
    </row>
    <row r="273" spans="1:10" x14ac:dyDescent="0.25">
      <c r="A273" s="41" t="s">
        <v>525</v>
      </c>
      <c r="B273" s="28">
        <v>5000011179</v>
      </c>
      <c r="C273" s="65" t="s">
        <v>526</v>
      </c>
      <c r="D273" s="35" t="s">
        <v>29</v>
      </c>
      <c r="E273" s="31"/>
      <c r="F273" s="32">
        <v>7180.67</v>
      </c>
      <c r="G273" s="33">
        <f t="shared" si="18"/>
        <v>0</v>
      </c>
      <c r="H273" s="33">
        <f>ROUND('[1]RESUMO DA PROPOSTA'!$C$18*F273,2)</f>
        <v>13643.27</v>
      </c>
      <c r="I273" s="33">
        <f t="shared" si="19"/>
        <v>0</v>
      </c>
      <c r="J273" s="34"/>
    </row>
    <row r="274" spans="1:10" x14ac:dyDescent="0.25">
      <c r="A274" s="41" t="s">
        <v>527</v>
      </c>
      <c r="B274" s="28">
        <v>5000011180</v>
      </c>
      <c r="C274" s="42" t="s">
        <v>528</v>
      </c>
      <c r="D274" s="35" t="s">
        <v>29</v>
      </c>
      <c r="E274" s="31"/>
      <c r="F274" s="32">
        <v>5035.41</v>
      </c>
      <c r="G274" s="33">
        <f t="shared" si="18"/>
        <v>0</v>
      </c>
      <c r="H274" s="33">
        <f>ROUND('[1]RESUMO DA PROPOSTA'!$C$18*F274,2)</f>
        <v>9567.2800000000007</v>
      </c>
      <c r="I274" s="33">
        <f t="shared" si="19"/>
        <v>0</v>
      </c>
      <c r="J274" s="34"/>
    </row>
    <row r="275" spans="1:10" x14ac:dyDescent="0.25">
      <c r="A275" s="41" t="s">
        <v>529</v>
      </c>
      <c r="B275" s="28">
        <v>5000011181</v>
      </c>
      <c r="C275" s="42" t="s">
        <v>530</v>
      </c>
      <c r="D275" s="35" t="s">
        <v>29</v>
      </c>
      <c r="E275" s="31"/>
      <c r="F275" s="32">
        <v>8106.7</v>
      </c>
      <c r="G275" s="33">
        <f t="shared" si="18"/>
        <v>0</v>
      </c>
      <c r="H275" s="33">
        <f>ROUND('[1]RESUMO DA PROPOSTA'!$C$18*F275,2)</f>
        <v>15402.73</v>
      </c>
      <c r="I275" s="33">
        <f t="shared" si="19"/>
        <v>0</v>
      </c>
      <c r="J275" s="34"/>
    </row>
    <row r="276" spans="1:10" x14ac:dyDescent="0.25">
      <c r="A276" s="41" t="s">
        <v>531</v>
      </c>
      <c r="B276" s="28">
        <v>5000011182</v>
      </c>
      <c r="C276" s="42" t="s">
        <v>532</v>
      </c>
      <c r="D276" s="35" t="s">
        <v>29</v>
      </c>
      <c r="E276" s="31"/>
      <c r="F276" s="32">
        <v>454.1</v>
      </c>
      <c r="G276" s="33">
        <f t="shared" si="18"/>
        <v>0</v>
      </c>
      <c r="H276" s="33">
        <f>ROUND('[1]RESUMO DA PROPOSTA'!$C$18*F276,2)</f>
        <v>862.79</v>
      </c>
      <c r="I276" s="33">
        <f t="shared" si="19"/>
        <v>0</v>
      </c>
      <c r="J276" s="34"/>
    </row>
    <row r="277" spans="1:10" x14ac:dyDescent="0.25">
      <c r="A277" s="41" t="s">
        <v>533</v>
      </c>
      <c r="B277" s="28">
        <v>5000011183</v>
      </c>
      <c r="C277" s="42" t="s">
        <v>534</v>
      </c>
      <c r="D277" s="35" t="s">
        <v>29</v>
      </c>
      <c r="E277" s="31"/>
      <c r="F277" s="32">
        <v>3870.36</v>
      </c>
      <c r="G277" s="33">
        <f t="shared" si="18"/>
        <v>0</v>
      </c>
      <c r="H277" s="33">
        <f>ROUND('[1]RESUMO DA PROPOSTA'!$C$18*F277,2)</f>
        <v>7353.68</v>
      </c>
      <c r="I277" s="33">
        <f t="shared" si="19"/>
        <v>0</v>
      </c>
      <c r="J277" s="34"/>
    </row>
    <row r="278" spans="1:10" x14ac:dyDescent="0.25">
      <c r="A278" s="41" t="s">
        <v>535</v>
      </c>
      <c r="B278" s="28">
        <v>5000011184</v>
      </c>
      <c r="C278" s="42" t="s">
        <v>536</v>
      </c>
      <c r="D278" s="35" t="s">
        <v>29</v>
      </c>
      <c r="E278" s="31"/>
      <c r="F278" s="32">
        <v>14200.23</v>
      </c>
      <c r="G278" s="33">
        <f t="shared" si="18"/>
        <v>0</v>
      </c>
      <c r="H278" s="33">
        <f>ROUND('[1]RESUMO DA PROPOSTA'!$C$18*F278,2)</f>
        <v>26980.44</v>
      </c>
      <c r="I278" s="33">
        <f t="shared" si="19"/>
        <v>0</v>
      </c>
      <c r="J278" s="34"/>
    </row>
    <row r="279" spans="1:10" x14ac:dyDescent="0.25">
      <c r="A279" s="41" t="s">
        <v>537</v>
      </c>
      <c r="B279" s="28">
        <v>5000011185</v>
      </c>
      <c r="C279" s="42" t="s">
        <v>538</v>
      </c>
      <c r="D279" s="35" t="s">
        <v>29</v>
      </c>
      <c r="E279" s="31"/>
      <c r="F279" s="32">
        <v>626.26</v>
      </c>
      <c r="G279" s="33">
        <f t="shared" si="18"/>
        <v>0</v>
      </c>
      <c r="H279" s="33">
        <f>ROUND('[1]RESUMO DA PROPOSTA'!$C$18*F279,2)</f>
        <v>1189.8900000000001</v>
      </c>
      <c r="I279" s="33">
        <f t="shared" si="19"/>
        <v>0</v>
      </c>
      <c r="J279" s="34"/>
    </row>
    <row r="280" spans="1:10" x14ac:dyDescent="0.25">
      <c r="A280" s="41" t="s">
        <v>539</v>
      </c>
      <c r="B280" s="28">
        <v>5000011186</v>
      </c>
      <c r="C280" s="42" t="s">
        <v>540</v>
      </c>
      <c r="D280" s="35" t="s">
        <v>29</v>
      </c>
      <c r="E280" s="31"/>
      <c r="F280" s="32">
        <v>807.66</v>
      </c>
      <c r="G280" s="33">
        <f t="shared" si="18"/>
        <v>0</v>
      </c>
      <c r="H280" s="33">
        <f>ROUND('[1]RESUMO DA PROPOSTA'!$C$18*F280,2)</f>
        <v>1534.55</v>
      </c>
      <c r="I280" s="33">
        <f t="shared" si="19"/>
        <v>0</v>
      </c>
      <c r="J280" s="34"/>
    </row>
    <row r="281" spans="1:10" x14ac:dyDescent="0.25">
      <c r="A281" s="41" t="s">
        <v>541</v>
      </c>
      <c r="B281" s="28">
        <v>5000011187</v>
      </c>
      <c r="C281" s="42" t="s">
        <v>542</v>
      </c>
      <c r="D281" s="35" t="s">
        <v>29</v>
      </c>
      <c r="E281" s="31"/>
      <c r="F281" s="32">
        <v>1</v>
      </c>
      <c r="G281" s="33">
        <f t="shared" si="18"/>
        <v>0</v>
      </c>
      <c r="H281" s="33">
        <f>ROUND('[1]RESUMO DA PROPOSTA'!$C$18*F281,2)</f>
        <v>1.9</v>
      </c>
      <c r="I281" s="33">
        <f t="shared" si="19"/>
        <v>0</v>
      </c>
      <c r="J281" s="34"/>
    </row>
    <row r="282" spans="1:10" x14ac:dyDescent="0.25">
      <c r="A282" s="41" t="s">
        <v>543</v>
      </c>
      <c r="B282" s="28">
        <v>5000011188</v>
      </c>
      <c r="C282" s="42" t="s">
        <v>544</v>
      </c>
      <c r="D282" s="35" t="s">
        <v>29</v>
      </c>
      <c r="E282" s="31"/>
      <c r="F282" s="32">
        <v>1</v>
      </c>
      <c r="G282" s="33">
        <f t="shared" si="18"/>
        <v>0</v>
      </c>
      <c r="H282" s="33">
        <f>ROUND('[1]RESUMO DA PROPOSTA'!$C$18*F282,2)</f>
        <v>1.9</v>
      </c>
      <c r="I282" s="33">
        <f t="shared" si="19"/>
        <v>0</v>
      </c>
      <c r="J282" s="34"/>
    </row>
    <row r="283" spans="1:10" x14ac:dyDescent="0.25">
      <c r="A283" s="41" t="s">
        <v>545</v>
      </c>
      <c r="B283" s="28">
        <v>5000011189</v>
      </c>
      <c r="C283" s="42" t="s">
        <v>546</v>
      </c>
      <c r="D283" s="35" t="s">
        <v>129</v>
      </c>
      <c r="E283" s="31"/>
      <c r="F283" s="32">
        <v>37.42</v>
      </c>
      <c r="G283" s="33">
        <f t="shared" si="18"/>
        <v>0</v>
      </c>
      <c r="H283" s="33">
        <f>ROUND('[1]RESUMO DA PROPOSTA'!$C$18*F283,2)</f>
        <v>71.099999999999994</v>
      </c>
      <c r="I283" s="33">
        <f t="shared" si="19"/>
        <v>0</v>
      </c>
      <c r="J283" s="34"/>
    </row>
    <row r="284" spans="1:10" x14ac:dyDescent="0.25">
      <c r="A284" s="41" t="s">
        <v>547</v>
      </c>
      <c r="B284" s="28">
        <v>5000011190</v>
      </c>
      <c r="C284" s="42" t="s">
        <v>548</v>
      </c>
      <c r="D284" s="35" t="s">
        <v>129</v>
      </c>
      <c r="E284" s="31"/>
      <c r="F284" s="32">
        <v>34.89</v>
      </c>
      <c r="G284" s="33">
        <f t="shared" si="18"/>
        <v>0</v>
      </c>
      <c r="H284" s="33">
        <f>ROUND('[1]RESUMO DA PROPOSTA'!$C$18*F284,2)</f>
        <v>66.290000000000006</v>
      </c>
      <c r="I284" s="33">
        <f t="shared" si="19"/>
        <v>0</v>
      </c>
      <c r="J284" s="34"/>
    </row>
    <row r="285" spans="1:10" x14ac:dyDescent="0.25">
      <c r="A285" s="41" t="s">
        <v>549</v>
      </c>
      <c r="B285" s="28">
        <v>5000011191</v>
      </c>
      <c r="C285" s="42" t="s">
        <v>550</v>
      </c>
      <c r="D285" s="35" t="s">
        <v>129</v>
      </c>
      <c r="E285" s="31"/>
      <c r="F285" s="32">
        <v>70.8</v>
      </c>
      <c r="G285" s="33">
        <f t="shared" si="18"/>
        <v>0</v>
      </c>
      <c r="H285" s="33">
        <f>ROUND('[1]RESUMO DA PROPOSTA'!$C$18*F285,2)</f>
        <v>134.52000000000001</v>
      </c>
      <c r="I285" s="33">
        <f t="shared" si="19"/>
        <v>0</v>
      </c>
      <c r="J285" s="34"/>
    </row>
    <row r="286" spans="1:10" x14ac:dyDescent="0.25">
      <c r="A286" s="41" t="s">
        <v>551</v>
      </c>
      <c r="B286" s="28">
        <v>5000011192</v>
      </c>
      <c r="C286" s="42" t="s">
        <v>552</v>
      </c>
      <c r="D286" s="35" t="s">
        <v>29</v>
      </c>
      <c r="E286" s="31"/>
      <c r="F286" s="32">
        <v>1556.92</v>
      </c>
      <c r="G286" s="33">
        <f t="shared" si="18"/>
        <v>0</v>
      </c>
      <c r="H286" s="33">
        <f>ROUND('[1]RESUMO DA PROPOSTA'!$C$18*F286,2)</f>
        <v>2958.15</v>
      </c>
      <c r="I286" s="33">
        <f t="shared" si="19"/>
        <v>0</v>
      </c>
      <c r="J286" s="34"/>
    </row>
    <row r="287" spans="1:10" x14ac:dyDescent="0.25">
      <c r="A287" s="41" t="s">
        <v>553</v>
      </c>
      <c r="B287" s="28">
        <v>5000011193</v>
      </c>
      <c r="C287" s="42" t="s">
        <v>554</v>
      </c>
      <c r="D287" s="35" t="s">
        <v>129</v>
      </c>
      <c r="E287" s="31"/>
      <c r="F287" s="32">
        <v>259.58</v>
      </c>
      <c r="G287" s="33">
        <f t="shared" si="18"/>
        <v>0</v>
      </c>
      <c r="H287" s="33">
        <f>ROUND('[1]RESUMO DA PROPOSTA'!$C$18*F287,2)</f>
        <v>493.2</v>
      </c>
      <c r="I287" s="33">
        <f t="shared" si="19"/>
        <v>0</v>
      </c>
      <c r="J287" s="34"/>
    </row>
    <row r="288" spans="1:10" x14ac:dyDescent="0.25">
      <c r="A288" s="41" t="s">
        <v>555</v>
      </c>
      <c r="B288" s="28">
        <v>5000011194</v>
      </c>
      <c r="C288" s="42" t="s">
        <v>556</v>
      </c>
      <c r="D288" s="35" t="s">
        <v>29</v>
      </c>
      <c r="E288" s="31"/>
      <c r="F288" s="32">
        <v>1686.66</v>
      </c>
      <c r="G288" s="33">
        <f t="shared" si="18"/>
        <v>0</v>
      </c>
      <c r="H288" s="33">
        <f>ROUND('[1]RESUMO DA PROPOSTA'!$C$18*F288,2)</f>
        <v>3204.65</v>
      </c>
      <c r="I288" s="33">
        <f t="shared" si="19"/>
        <v>0</v>
      </c>
      <c r="J288" s="34"/>
    </row>
    <row r="289" spans="1:10" x14ac:dyDescent="0.25">
      <c r="A289" s="41" t="s">
        <v>557</v>
      </c>
      <c r="B289" s="28">
        <v>5000011195</v>
      </c>
      <c r="C289" s="42" t="s">
        <v>558</v>
      </c>
      <c r="D289" s="35" t="s">
        <v>120</v>
      </c>
      <c r="E289" s="31"/>
      <c r="F289" s="32">
        <v>89.9</v>
      </c>
      <c r="G289" s="33">
        <f t="shared" si="18"/>
        <v>0</v>
      </c>
      <c r="H289" s="33">
        <f>ROUND('[1]RESUMO DA PROPOSTA'!$C$18*F289,2)</f>
        <v>170.81</v>
      </c>
      <c r="I289" s="33">
        <f t="shared" si="19"/>
        <v>0</v>
      </c>
      <c r="J289" s="34"/>
    </row>
    <row r="290" spans="1:10" x14ac:dyDescent="0.25">
      <c r="A290" s="41" t="s">
        <v>559</v>
      </c>
      <c r="B290" s="28">
        <v>5000011196</v>
      </c>
      <c r="C290" s="42" t="s">
        <v>560</v>
      </c>
      <c r="D290" s="35" t="s">
        <v>120</v>
      </c>
      <c r="E290" s="31"/>
      <c r="F290" s="32">
        <v>1225.8499999999999</v>
      </c>
      <c r="G290" s="33">
        <f t="shared" si="18"/>
        <v>0</v>
      </c>
      <c r="H290" s="33">
        <f>ROUND('[1]RESUMO DA PROPOSTA'!$C$18*F290,2)</f>
        <v>2329.12</v>
      </c>
      <c r="I290" s="33">
        <f t="shared" si="19"/>
        <v>0</v>
      </c>
      <c r="J290" s="34"/>
    </row>
    <row r="291" spans="1:10" x14ac:dyDescent="0.25">
      <c r="A291" s="41" t="s">
        <v>561</v>
      </c>
      <c r="B291" s="28">
        <v>5000011197</v>
      </c>
      <c r="C291" s="42" t="s">
        <v>562</v>
      </c>
      <c r="D291" s="35" t="s">
        <v>129</v>
      </c>
      <c r="E291" s="31"/>
      <c r="F291" s="32">
        <v>51.03</v>
      </c>
      <c r="G291" s="33">
        <f t="shared" si="18"/>
        <v>0</v>
      </c>
      <c r="H291" s="33">
        <f>ROUND('[1]RESUMO DA PROPOSTA'!$C$18*F291,2)</f>
        <v>96.96</v>
      </c>
      <c r="I291" s="33">
        <f t="shared" si="19"/>
        <v>0</v>
      </c>
      <c r="J291" s="34"/>
    </row>
    <row r="292" spans="1:10" x14ac:dyDescent="0.25">
      <c r="A292" s="41" t="s">
        <v>563</v>
      </c>
      <c r="B292" s="28">
        <v>5000011198</v>
      </c>
      <c r="C292" s="42" t="s">
        <v>564</v>
      </c>
      <c r="D292" s="35" t="s">
        <v>129</v>
      </c>
      <c r="E292" s="31"/>
      <c r="F292" s="32">
        <v>26.24</v>
      </c>
      <c r="G292" s="33">
        <f t="shared" si="18"/>
        <v>0</v>
      </c>
      <c r="H292" s="33">
        <f>ROUND('[1]RESUMO DA PROPOSTA'!$C$18*F292,2)</f>
        <v>49.86</v>
      </c>
      <c r="I292" s="33">
        <f t="shared" si="19"/>
        <v>0</v>
      </c>
      <c r="J292" s="34"/>
    </row>
    <row r="293" spans="1:10" x14ac:dyDescent="0.25">
      <c r="A293" s="41" t="s">
        <v>565</v>
      </c>
      <c r="B293" s="28">
        <v>5000011199</v>
      </c>
      <c r="C293" s="42" t="s">
        <v>566</v>
      </c>
      <c r="D293" s="35" t="s">
        <v>129</v>
      </c>
      <c r="E293" s="31"/>
      <c r="F293" s="32">
        <v>54.51</v>
      </c>
      <c r="G293" s="33">
        <f t="shared" si="18"/>
        <v>0</v>
      </c>
      <c r="H293" s="33">
        <f>ROUND('[1]RESUMO DA PROPOSTA'!$C$18*F293,2)</f>
        <v>103.57</v>
      </c>
      <c r="I293" s="33">
        <f t="shared" si="19"/>
        <v>0</v>
      </c>
      <c r="J293" s="34"/>
    </row>
    <row r="294" spans="1:10" x14ac:dyDescent="0.25">
      <c r="A294" s="41" t="s">
        <v>567</v>
      </c>
      <c r="B294" s="28">
        <v>5000011200</v>
      </c>
      <c r="C294" s="42" t="s">
        <v>568</v>
      </c>
      <c r="D294" s="35" t="s">
        <v>129</v>
      </c>
      <c r="E294" s="31"/>
      <c r="F294" s="32">
        <v>227.78</v>
      </c>
      <c r="G294" s="33">
        <f t="shared" si="18"/>
        <v>0</v>
      </c>
      <c r="H294" s="33">
        <f>ROUND('[1]RESUMO DA PROPOSTA'!$C$18*F294,2)</f>
        <v>432.78</v>
      </c>
      <c r="I294" s="33">
        <f t="shared" si="19"/>
        <v>0</v>
      </c>
      <c r="J294" s="34"/>
    </row>
    <row r="295" spans="1:10" x14ac:dyDescent="0.25">
      <c r="A295" s="41" t="s">
        <v>569</v>
      </c>
      <c r="B295" s="28">
        <v>5000011201</v>
      </c>
      <c r="C295" s="42" t="s">
        <v>570</v>
      </c>
      <c r="D295" s="35" t="s">
        <v>129</v>
      </c>
      <c r="E295" s="31"/>
      <c r="F295" s="32">
        <v>247.68</v>
      </c>
      <c r="G295" s="33">
        <f t="shared" si="18"/>
        <v>0</v>
      </c>
      <c r="H295" s="33">
        <f>ROUND('[1]RESUMO DA PROPOSTA'!$C$18*F295,2)</f>
        <v>470.59</v>
      </c>
      <c r="I295" s="33">
        <f t="shared" si="19"/>
        <v>0</v>
      </c>
      <c r="J295" s="34"/>
    </row>
    <row r="296" spans="1:10" x14ac:dyDescent="0.25">
      <c r="A296" s="41" t="s">
        <v>571</v>
      </c>
      <c r="B296" s="28">
        <v>5000011202</v>
      </c>
      <c r="C296" s="42" t="s">
        <v>572</v>
      </c>
      <c r="D296" s="35" t="s">
        <v>120</v>
      </c>
      <c r="E296" s="31"/>
      <c r="F296" s="32">
        <v>217.47</v>
      </c>
      <c r="G296" s="33">
        <f t="shared" si="18"/>
        <v>0</v>
      </c>
      <c r="H296" s="33">
        <f>ROUND('[1]RESUMO DA PROPOSTA'!$C$18*F296,2)</f>
        <v>413.19</v>
      </c>
      <c r="I296" s="33">
        <f t="shared" si="19"/>
        <v>0</v>
      </c>
      <c r="J296" s="34"/>
    </row>
    <row r="297" spans="1:10" x14ac:dyDescent="0.25">
      <c r="A297" s="41" t="s">
        <v>573</v>
      </c>
      <c r="B297" s="28">
        <v>5000011203</v>
      </c>
      <c r="C297" s="42" t="s">
        <v>574</v>
      </c>
      <c r="D297" s="35" t="s">
        <v>129</v>
      </c>
      <c r="E297" s="31"/>
      <c r="F297" s="32">
        <v>915.82</v>
      </c>
      <c r="G297" s="33">
        <f t="shared" si="18"/>
        <v>0</v>
      </c>
      <c r="H297" s="33">
        <f>ROUND('[1]RESUMO DA PROPOSTA'!$C$18*F297,2)</f>
        <v>1740.06</v>
      </c>
      <c r="I297" s="33">
        <f t="shared" si="19"/>
        <v>0</v>
      </c>
      <c r="J297" s="34"/>
    </row>
    <row r="298" spans="1:10" x14ac:dyDescent="0.25">
      <c r="A298" s="41" t="s">
        <v>575</v>
      </c>
      <c r="B298" s="28">
        <v>5000011204</v>
      </c>
      <c r="C298" s="42" t="s">
        <v>576</v>
      </c>
      <c r="D298" s="35" t="s">
        <v>120</v>
      </c>
      <c r="E298" s="31"/>
      <c r="F298" s="32">
        <v>129.16999999999999</v>
      </c>
      <c r="G298" s="33">
        <f t="shared" si="18"/>
        <v>0</v>
      </c>
      <c r="H298" s="33">
        <f>ROUND('[1]RESUMO DA PROPOSTA'!$C$18*F298,2)</f>
        <v>245.42</v>
      </c>
      <c r="I298" s="33">
        <f t="shared" si="19"/>
        <v>0</v>
      </c>
      <c r="J298" s="34"/>
    </row>
    <row r="299" spans="1:10" x14ac:dyDescent="0.25">
      <c r="A299" s="41" t="s">
        <v>577</v>
      </c>
      <c r="B299" s="28">
        <v>5000011205</v>
      </c>
      <c r="C299" s="42" t="s">
        <v>578</v>
      </c>
      <c r="D299" s="35" t="s">
        <v>29</v>
      </c>
      <c r="E299" s="31"/>
      <c r="F299" s="32">
        <v>1053.5</v>
      </c>
      <c r="G299" s="33">
        <f t="shared" si="18"/>
        <v>0</v>
      </c>
      <c r="H299" s="33">
        <f>ROUND('[1]RESUMO DA PROPOSTA'!$C$18*F299,2)</f>
        <v>2001.65</v>
      </c>
      <c r="I299" s="33">
        <f t="shared" si="19"/>
        <v>0</v>
      </c>
      <c r="J299" s="34"/>
    </row>
    <row r="300" spans="1:10" x14ac:dyDescent="0.25">
      <c r="A300" s="41" t="s">
        <v>579</v>
      </c>
      <c r="B300" s="28">
        <v>5000011206</v>
      </c>
      <c r="C300" s="42" t="s">
        <v>580</v>
      </c>
      <c r="D300" s="35" t="s">
        <v>29</v>
      </c>
      <c r="E300" s="31"/>
      <c r="F300" s="32">
        <v>1043.6400000000001</v>
      </c>
      <c r="G300" s="33">
        <f t="shared" si="18"/>
        <v>0</v>
      </c>
      <c r="H300" s="33">
        <f>ROUND('[1]RESUMO DA PROPOSTA'!$C$18*F300,2)</f>
        <v>1982.92</v>
      </c>
      <c r="I300" s="33">
        <f t="shared" si="19"/>
        <v>0</v>
      </c>
      <c r="J300" s="34"/>
    </row>
    <row r="301" spans="1:10" x14ac:dyDescent="0.25">
      <c r="A301" s="41" t="s">
        <v>581</v>
      </c>
      <c r="B301" s="28">
        <v>5000011207</v>
      </c>
      <c r="C301" s="42" t="s">
        <v>582</v>
      </c>
      <c r="D301" s="35" t="s">
        <v>29</v>
      </c>
      <c r="E301" s="31"/>
      <c r="F301" s="32">
        <v>15056.73</v>
      </c>
      <c r="G301" s="33">
        <f t="shared" si="18"/>
        <v>0</v>
      </c>
      <c r="H301" s="33">
        <f>ROUND('[1]RESUMO DA PROPOSTA'!$C$18*F301,2)</f>
        <v>28607.79</v>
      </c>
      <c r="I301" s="33">
        <f t="shared" si="19"/>
        <v>0</v>
      </c>
      <c r="J301" s="34"/>
    </row>
    <row r="302" spans="1:10" x14ac:dyDescent="0.25">
      <c r="A302" s="41" t="s">
        <v>583</v>
      </c>
      <c r="B302" s="28">
        <v>5000011208</v>
      </c>
      <c r="C302" s="42" t="s">
        <v>584</v>
      </c>
      <c r="D302" s="35" t="s">
        <v>29</v>
      </c>
      <c r="E302" s="31"/>
      <c r="F302" s="32">
        <v>2644.04</v>
      </c>
      <c r="G302" s="33">
        <f t="shared" si="18"/>
        <v>0</v>
      </c>
      <c r="H302" s="33">
        <f>ROUND('[1]RESUMO DA PROPOSTA'!$C$18*F302,2)</f>
        <v>5023.68</v>
      </c>
      <c r="I302" s="33">
        <f t="shared" si="19"/>
        <v>0</v>
      </c>
      <c r="J302" s="34"/>
    </row>
    <row r="303" spans="1:10" x14ac:dyDescent="0.25">
      <c r="A303" s="41" t="s">
        <v>585</v>
      </c>
      <c r="B303" s="28">
        <v>5000011209</v>
      </c>
      <c r="C303" s="42" t="s">
        <v>586</v>
      </c>
      <c r="D303" s="35" t="s">
        <v>29</v>
      </c>
      <c r="E303" s="31"/>
      <c r="F303" s="32">
        <v>1683.3</v>
      </c>
      <c r="G303" s="33">
        <f t="shared" si="18"/>
        <v>0</v>
      </c>
      <c r="H303" s="33">
        <f>ROUND('[1]RESUMO DA PROPOSTA'!$C$18*F303,2)</f>
        <v>3198.27</v>
      </c>
      <c r="I303" s="33">
        <f t="shared" si="19"/>
        <v>0</v>
      </c>
      <c r="J303" s="34"/>
    </row>
    <row r="304" spans="1:10" x14ac:dyDescent="0.25">
      <c r="A304" s="41" t="s">
        <v>587</v>
      </c>
      <c r="B304" s="28">
        <v>5000011210</v>
      </c>
      <c r="C304" s="42" t="s">
        <v>588</v>
      </c>
      <c r="D304" s="35" t="s">
        <v>29</v>
      </c>
      <c r="E304" s="31"/>
      <c r="F304" s="32">
        <v>2464.11</v>
      </c>
      <c r="G304" s="33">
        <f t="shared" si="18"/>
        <v>0</v>
      </c>
      <c r="H304" s="33">
        <f>ROUND('[1]RESUMO DA PROPOSTA'!$C$18*F304,2)</f>
        <v>4681.8100000000004</v>
      </c>
      <c r="I304" s="33">
        <f t="shared" si="19"/>
        <v>0</v>
      </c>
      <c r="J304" s="34"/>
    </row>
    <row r="305" spans="1:10" x14ac:dyDescent="0.25">
      <c r="A305" s="41" t="s">
        <v>589</v>
      </c>
      <c r="B305" s="28">
        <v>5000011211</v>
      </c>
      <c r="C305" s="42" t="s">
        <v>590</v>
      </c>
      <c r="D305" s="35" t="s">
        <v>29</v>
      </c>
      <c r="E305" s="31"/>
      <c r="F305" s="32">
        <v>3679.03</v>
      </c>
      <c r="G305" s="33">
        <f t="shared" si="18"/>
        <v>0</v>
      </c>
      <c r="H305" s="33">
        <f>ROUND('[1]RESUMO DA PROPOSTA'!$C$18*F305,2)</f>
        <v>6990.16</v>
      </c>
      <c r="I305" s="33">
        <f t="shared" si="19"/>
        <v>0</v>
      </c>
      <c r="J305" s="34"/>
    </row>
    <row r="306" spans="1:10" x14ac:dyDescent="0.25">
      <c r="A306" s="41" t="s">
        <v>591</v>
      </c>
      <c r="B306" s="28">
        <v>5000011212</v>
      </c>
      <c r="C306" s="42" t="s">
        <v>592</v>
      </c>
      <c r="D306" s="35" t="s">
        <v>129</v>
      </c>
      <c r="E306" s="31"/>
      <c r="F306" s="32">
        <v>87.33</v>
      </c>
      <c r="G306" s="33">
        <f t="shared" si="18"/>
        <v>0</v>
      </c>
      <c r="H306" s="33">
        <f>ROUND('[1]RESUMO DA PROPOSTA'!$C$18*F306,2)</f>
        <v>165.93</v>
      </c>
      <c r="I306" s="33">
        <f t="shared" si="19"/>
        <v>0</v>
      </c>
      <c r="J306" s="34"/>
    </row>
    <row r="307" spans="1:10" x14ac:dyDescent="0.25">
      <c r="A307" s="41" t="s">
        <v>593</v>
      </c>
      <c r="B307" s="28">
        <v>5000011213</v>
      </c>
      <c r="C307" s="42" t="s">
        <v>594</v>
      </c>
      <c r="D307" s="35" t="s">
        <v>29</v>
      </c>
      <c r="E307" s="31"/>
      <c r="F307" s="32">
        <v>10379.450000000001</v>
      </c>
      <c r="G307" s="33">
        <f t="shared" si="18"/>
        <v>0</v>
      </c>
      <c r="H307" s="33">
        <f>ROUND('[1]RESUMO DA PROPOSTA'!$C$18*F307,2)</f>
        <v>19720.96</v>
      </c>
      <c r="I307" s="33">
        <f t="shared" si="19"/>
        <v>0</v>
      </c>
      <c r="J307" s="34"/>
    </row>
    <row r="308" spans="1:10" x14ac:dyDescent="0.25">
      <c r="A308" s="41" t="s">
        <v>595</v>
      </c>
      <c r="B308" s="28">
        <v>5000011214</v>
      </c>
      <c r="C308" s="42" t="s">
        <v>596</v>
      </c>
      <c r="D308" s="35" t="s">
        <v>29</v>
      </c>
      <c r="E308" s="31"/>
      <c r="F308" s="32">
        <v>10265.57</v>
      </c>
      <c r="G308" s="33">
        <f t="shared" si="18"/>
        <v>0</v>
      </c>
      <c r="H308" s="33">
        <f>ROUND('[1]RESUMO DA PROPOSTA'!$C$18*F308,2)</f>
        <v>19504.580000000002</v>
      </c>
      <c r="I308" s="33">
        <f t="shared" si="19"/>
        <v>0</v>
      </c>
      <c r="J308" s="34"/>
    </row>
    <row r="309" spans="1:10" ht="25.5" x14ac:dyDescent="0.25">
      <c r="A309" s="41" t="s">
        <v>597</v>
      </c>
      <c r="B309" s="28">
        <v>5000007689</v>
      </c>
      <c r="C309" s="42" t="s">
        <v>598</v>
      </c>
      <c r="D309" s="35" t="s">
        <v>29</v>
      </c>
      <c r="E309" s="31"/>
      <c r="F309" s="32">
        <v>10696.96</v>
      </c>
      <c r="G309" s="33">
        <f t="shared" si="18"/>
        <v>0</v>
      </c>
      <c r="H309" s="33">
        <f>ROUND('[1]RESUMO DA PROPOSTA'!$C$18*F309,2)</f>
        <v>20324.22</v>
      </c>
      <c r="I309" s="33">
        <f t="shared" si="19"/>
        <v>0</v>
      </c>
      <c r="J309" s="34"/>
    </row>
    <row r="310" spans="1:10" ht="25.5" x14ac:dyDescent="0.25">
      <c r="A310" s="41" t="s">
        <v>599</v>
      </c>
      <c r="B310" s="28">
        <v>5000007686</v>
      </c>
      <c r="C310" s="42" t="s">
        <v>600</v>
      </c>
      <c r="D310" s="35" t="s">
        <v>129</v>
      </c>
      <c r="E310" s="31"/>
      <c r="F310" s="32">
        <v>6757.96</v>
      </c>
      <c r="G310" s="33">
        <f t="shared" si="18"/>
        <v>0</v>
      </c>
      <c r="H310" s="33">
        <f>ROUND('[1]RESUMO DA PROPOSTA'!$C$18*F310,2)</f>
        <v>12840.12</v>
      </c>
      <c r="I310" s="33">
        <f t="shared" si="19"/>
        <v>0</v>
      </c>
      <c r="J310" s="34"/>
    </row>
    <row r="311" spans="1:10" x14ac:dyDescent="0.25">
      <c r="A311" s="41" t="s">
        <v>601</v>
      </c>
      <c r="B311" s="28">
        <v>5000011215</v>
      </c>
      <c r="C311" s="42" t="s">
        <v>602</v>
      </c>
      <c r="D311" s="35" t="s">
        <v>129</v>
      </c>
      <c r="E311" s="31"/>
      <c r="F311" s="32">
        <v>3656.64</v>
      </c>
      <c r="G311" s="33">
        <f t="shared" si="18"/>
        <v>0</v>
      </c>
      <c r="H311" s="33">
        <f>ROUND('[1]RESUMO DA PROPOSTA'!$C$18*F311,2)</f>
        <v>6947.62</v>
      </c>
      <c r="I311" s="33">
        <f t="shared" si="19"/>
        <v>0</v>
      </c>
      <c r="J311" s="34"/>
    </row>
    <row r="312" spans="1:10" ht="38.25" x14ac:dyDescent="0.25">
      <c r="A312" s="41" t="s">
        <v>603</v>
      </c>
      <c r="B312" s="28">
        <v>3000016310</v>
      </c>
      <c r="C312" s="42" t="s">
        <v>604</v>
      </c>
      <c r="D312" s="35" t="s">
        <v>129</v>
      </c>
      <c r="E312" s="31"/>
      <c r="F312" s="32">
        <v>3990.14</v>
      </c>
      <c r="G312" s="33">
        <f t="shared" si="18"/>
        <v>0</v>
      </c>
      <c r="H312" s="33">
        <f>ROUND('[1]RESUMO DA PROPOSTA'!$C$18*F312,2)</f>
        <v>7581.27</v>
      </c>
      <c r="I312" s="33">
        <f t="shared" si="19"/>
        <v>0</v>
      </c>
      <c r="J312" s="34"/>
    </row>
    <row r="313" spans="1:10" x14ac:dyDescent="0.25">
      <c r="A313" s="41" t="s">
        <v>605</v>
      </c>
      <c r="B313" s="28">
        <v>5000011438</v>
      </c>
      <c r="C313" s="42" t="s">
        <v>606</v>
      </c>
      <c r="D313" s="35" t="s">
        <v>129</v>
      </c>
      <c r="E313" s="31"/>
      <c r="F313" s="32">
        <v>4258.97</v>
      </c>
      <c r="G313" s="33">
        <f t="shared" si="18"/>
        <v>0</v>
      </c>
      <c r="H313" s="33">
        <f>ROUND('[1]RESUMO DA PROPOSTA'!$C$18*F313,2)</f>
        <v>8092.04</v>
      </c>
      <c r="I313" s="33">
        <f t="shared" si="19"/>
        <v>0</v>
      </c>
      <c r="J313" s="34"/>
    </row>
    <row r="314" spans="1:10" x14ac:dyDescent="0.25">
      <c r="A314" s="41" t="s">
        <v>607</v>
      </c>
      <c r="B314" s="28">
        <v>5000011216</v>
      </c>
      <c r="C314" s="42" t="s">
        <v>608</v>
      </c>
      <c r="D314" s="35" t="s">
        <v>129</v>
      </c>
      <c r="E314" s="31"/>
      <c r="F314" s="32">
        <v>2861.61</v>
      </c>
      <c r="G314" s="33">
        <f t="shared" si="18"/>
        <v>0</v>
      </c>
      <c r="H314" s="33">
        <f>ROUND('[1]RESUMO DA PROPOSTA'!$C$18*F314,2)</f>
        <v>5437.06</v>
      </c>
      <c r="I314" s="33">
        <f t="shared" si="19"/>
        <v>0</v>
      </c>
      <c r="J314" s="34"/>
    </row>
    <row r="315" spans="1:10" x14ac:dyDescent="0.25">
      <c r="A315" s="41" t="s">
        <v>609</v>
      </c>
      <c r="B315" s="28">
        <v>5000011439</v>
      </c>
      <c r="C315" s="42" t="s">
        <v>610</v>
      </c>
      <c r="D315" s="35" t="s">
        <v>29</v>
      </c>
      <c r="E315" s="31"/>
      <c r="F315" s="32">
        <v>18271.57</v>
      </c>
      <c r="G315" s="33">
        <f t="shared" si="18"/>
        <v>0</v>
      </c>
      <c r="H315" s="33">
        <f>ROUND('[1]RESUMO DA PROPOSTA'!$C$18*F315,2)</f>
        <v>34715.980000000003</v>
      </c>
      <c r="I315" s="33">
        <f t="shared" si="19"/>
        <v>0</v>
      </c>
      <c r="J315" s="34"/>
    </row>
    <row r="316" spans="1:10" x14ac:dyDescent="0.25">
      <c r="A316" s="41" t="s">
        <v>611</v>
      </c>
      <c r="B316" s="28">
        <v>5000011217</v>
      </c>
      <c r="C316" s="42" t="s">
        <v>612</v>
      </c>
      <c r="D316" s="35" t="s">
        <v>129</v>
      </c>
      <c r="E316" s="31"/>
      <c r="F316" s="32">
        <v>157.19</v>
      </c>
      <c r="G316" s="33">
        <f t="shared" si="18"/>
        <v>0</v>
      </c>
      <c r="H316" s="33">
        <f>ROUND('[1]RESUMO DA PROPOSTA'!$C$18*F316,2)</f>
        <v>298.66000000000003</v>
      </c>
      <c r="I316" s="33">
        <f t="shared" si="19"/>
        <v>0</v>
      </c>
      <c r="J316" s="34"/>
    </row>
    <row r="317" spans="1:10" x14ac:dyDescent="0.25">
      <c r="A317" s="41" t="s">
        <v>613</v>
      </c>
      <c r="B317" s="28">
        <v>5000011218</v>
      </c>
      <c r="C317" s="42" t="s">
        <v>614</v>
      </c>
      <c r="D317" s="35" t="s">
        <v>129</v>
      </c>
      <c r="E317" s="31"/>
      <c r="F317" s="32">
        <v>155.63999999999999</v>
      </c>
      <c r="G317" s="33">
        <f t="shared" si="18"/>
        <v>0</v>
      </c>
      <c r="H317" s="33">
        <f>ROUND('[1]RESUMO DA PROPOSTA'!$C$18*F317,2)</f>
        <v>295.72000000000003</v>
      </c>
      <c r="I317" s="33">
        <f t="shared" si="19"/>
        <v>0</v>
      </c>
      <c r="J317" s="34"/>
    </row>
    <row r="318" spans="1:10" x14ac:dyDescent="0.25">
      <c r="A318" s="41" t="s">
        <v>615</v>
      </c>
      <c r="B318" s="28">
        <v>5000011219</v>
      </c>
      <c r="C318" s="42" t="s">
        <v>616</v>
      </c>
      <c r="D318" s="35" t="s">
        <v>129</v>
      </c>
      <c r="E318" s="31"/>
      <c r="F318" s="32">
        <v>140.5</v>
      </c>
      <c r="G318" s="33">
        <f t="shared" si="18"/>
        <v>0</v>
      </c>
      <c r="H318" s="33">
        <f>ROUND('[1]RESUMO DA PROPOSTA'!$C$18*F318,2)</f>
        <v>266.95</v>
      </c>
      <c r="I318" s="33">
        <f t="shared" si="19"/>
        <v>0</v>
      </c>
      <c r="J318" s="34"/>
    </row>
    <row r="319" spans="1:10" x14ac:dyDescent="0.25">
      <c r="A319" s="41" t="s">
        <v>617</v>
      </c>
      <c r="B319" s="28">
        <v>5000011440</v>
      </c>
      <c r="C319" s="42" t="s">
        <v>618</v>
      </c>
      <c r="D319" s="35" t="s">
        <v>120</v>
      </c>
      <c r="E319" s="31"/>
      <c r="F319" s="32">
        <v>1190.6500000000001</v>
      </c>
      <c r="G319" s="33">
        <f t="shared" si="18"/>
        <v>0</v>
      </c>
      <c r="H319" s="33">
        <f>ROUND('[1]RESUMO DA PROPOSTA'!$C$18*F319,2)</f>
        <v>2262.2399999999998</v>
      </c>
      <c r="I319" s="33">
        <f t="shared" si="19"/>
        <v>0</v>
      </c>
      <c r="J319" s="34"/>
    </row>
    <row r="320" spans="1:10" x14ac:dyDescent="0.25">
      <c r="A320" s="41" t="s">
        <v>619</v>
      </c>
      <c r="B320" s="28">
        <v>5000011441</v>
      </c>
      <c r="C320" s="42" t="s">
        <v>620</v>
      </c>
      <c r="D320" s="35" t="s">
        <v>120</v>
      </c>
      <c r="E320" s="31"/>
      <c r="F320" s="32">
        <v>59.04</v>
      </c>
      <c r="G320" s="33">
        <f t="shared" si="18"/>
        <v>0</v>
      </c>
      <c r="H320" s="33">
        <f>ROUND('[1]RESUMO DA PROPOSTA'!$C$18*F320,2)</f>
        <v>112.18</v>
      </c>
      <c r="I320" s="33">
        <f t="shared" si="19"/>
        <v>0</v>
      </c>
      <c r="J320" s="34"/>
    </row>
    <row r="321" spans="1:10" x14ac:dyDescent="0.25">
      <c r="A321" s="41" t="s">
        <v>621</v>
      </c>
      <c r="B321" s="28">
        <v>5000007484</v>
      </c>
      <c r="C321" s="42" t="s">
        <v>622</v>
      </c>
      <c r="D321" s="35" t="s">
        <v>29</v>
      </c>
      <c r="E321" s="31"/>
      <c r="F321" s="32">
        <v>19846.919999999998</v>
      </c>
      <c r="G321" s="33">
        <f t="shared" si="18"/>
        <v>0</v>
      </c>
      <c r="H321" s="33">
        <f>ROUND('[1]RESUMO DA PROPOSTA'!$C$18*F321,2)</f>
        <v>37709.15</v>
      </c>
      <c r="I321" s="33">
        <f t="shared" si="19"/>
        <v>0</v>
      </c>
      <c r="J321" s="34"/>
    </row>
    <row r="322" spans="1:10" ht="38.25" x14ac:dyDescent="0.25">
      <c r="A322" s="41" t="s">
        <v>623</v>
      </c>
      <c r="B322" s="28">
        <v>3000018184</v>
      </c>
      <c r="C322" s="42" t="s">
        <v>624</v>
      </c>
      <c r="D322" s="35" t="s">
        <v>29</v>
      </c>
      <c r="E322" s="31"/>
      <c r="F322" s="32">
        <v>10159.57</v>
      </c>
      <c r="G322" s="33">
        <f t="shared" si="18"/>
        <v>0</v>
      </c>
      <c r="H322" s="33">
        <f>ROUND('[1]RESUMO DA PROPOSTA'!$C$18*F322,2)</f>
        <v>19303.18</v>
      </c>
      <c r="I322" s="33">
        <f t="shared" si="19"/>
        <v>0</v>
      </c>
      <c r="J322" s="34"/>
    </row>
    <row r="323" spans="1:10" x14ac:dyDescent="0.25">
      <c r="A323" s="41" t="s">
        <v>625</v>
      </c>
      <c r="B323" s="28">
        <v>5000011442</v>
      </c>
      <c r="C323" s="42" t="s">
        <v>626</v>
      </c>
      <c r="D323" s="35" t="s">
        <v>96</v>
      </c>
      <c r="E323" s="31"/>
      <c r="F323" s="32">
        <v>15745.45</v>
      </c>
      <c r="G323" s="33">
        <f t="shared" si="18"/>
        <v>0</v>
      </c>
      <c r="H323" s="33">
        <f>ROUND('[1]RESUMO DA PROPOSTA'!$C$18*F323,2)</f>
        <v>29916.36</v>
      </c>
      <c r="I323" s="33">
        <f t="shared" si="19"/>
        <v>0</v>
      </c>
      <c r="J323" s="34"/>
    </row>
    <row r="324" spans="1:10" ht="15.75" x14ac:dyDescent="0.25">
      <c r="A324" s="43" t="s">
        <v>627</v>
      </c>
      <c r="B324" s="44"/>
      <c r="C324" s="45" t="s">
        <v>628</v>
      </c>
      <c r="D324" s="46"/>
      <c r="E324" s="47"/>
      <c r="F324" s="48" t="s">
        <v>17</v>
      </c>
      <c r="G324" s="49">
        <f>SUBTOTAL(9,G325:G375)</f>
        <v>16072.76</v>
      </c>
      <c r="H324" s="48" t="s">
        <v>17</v>
      </c>
      <c r="I324" s="49">
        <f>SUBTOTAL(9,I325:I375)</f>
        <v>30538.15</v>
      </c>
      <c r="J324" s="50"/>
    </row>
    <row r="325" spans="1:10" x14ac:dyDescent="0.25">
      <c r="A325" s="62" t="s">
        <v>629</v>
      </c>
      <c r="B325" s="28">
        <v>5000011220</v>
      </c>
      <c r="C325" s="42" t="s">
        <v>630</v>
      </c>
      <c r="D325" s="35" t="s">
        <v>29</v>
      </c>
      <c r="E325" s="31"/>
      <c r="F325" s="66">
        <v>1313.64</v>
      </c>
      <c r="G325" s="60">
        <f t="shared" ref="G325:G375" si="20">ROUND(E325*F325,2)</f>
        <v>0</v>
      </c>
      <c r="H325" s="60">
        <f>ROUND('[1]RESUMO DA PROPOSTA'!$C$18*F325,2)</f>
        <v>2495.92</v>
      </c>
      <c r="I325" s="60">
        <f t="shared" ref="I325:I375" si="21">ROUND(E325*H325,2)</f>
        <v>0</v>
      </c>
      <c r="J325" s="61"/>
    </row>
    <row r="326" spans="1:10" x14ac:dyDescent="0.25">
      <c r="A326" s="62" t="s">
        <v>631</v>
      </c>
      <c r="B326" s="28">
        <v>5000011221</v>
      </c>
      <c r="C326" s="42" t="s">
        <v>632</v>
      </c>
      <c r="D326" s="35" t="s">
        <v>29</v>
      </c>
      <c r="E326" s="31"/>
      <c r="F326" s="32">
        <v>173.93</v>
      </c>
      <c r="G326" s="33">
        <f t="shared" si="20"/>
        <v>0</v>
      </c>
      <c r="H326" s="33">
        <f>ROUND('[1]RESUMO DA PROPOSTA'!$C$18*F326,2)</f>
        <v>330.47</v>
      </c>
      <c r="I326" s="33">
        <f t="shared" si="21"/>
        <v>0</v>
      </c>
      <c r="J326" s="34"/>
    </row>
    <row r="327" spans="1:10" x14ac:dyDescent="0.25">
      <c r="A327" s="62" t="s">
        <v>633</v>
      </c>
      <c r="B327" s="28">
        <v>5000011222</v>
      </c>
      <c r="C327" s="42" t="s">
        <v>634</v>
      </c>
      <c r="D327" s="35" t="s">
        <v>29</v>
      </c>
      <c r="E327" s="31"/>
      <c r="F327" s="32">
        <v>173.93</v>
      </c>
      <c r="G327" s="33">
        <f t="shared" si="20"/>
        <v>0</v>
      </c>
      <c r="H327" s="33">
        <f>ROUND('[1]RESUMO DA PROPOSTA'!$C$18*F327,2)</f>
        <v>330.47</v>
      </c>
      <c r="I327" s="33">
        <f t="shared" si="21"/>
        <v>0</v>
      </c>
      <c r="J327" s="34"/>
    </row>
    <row r="328" spans="1:10" x14ac:dyDescent="0.25">
      <c r="A328" s="62" t="s">
        <v>635</v>
      </c>
      <c r="B328" s="28">
        <v>5000011223</v>
      </c>
      <c r="C328" s="42" t="s">
        <v>636</v>
      </c>
      <c r="D328" s="35" t="s">
        <v>120</v>
      </c>
      <c r="E328" s="31"/>
      <c r="F328" s="32">
        <v>691.05</v>
      </c>
      <c r="G328" s="33">
        <f t="shared" si="20"/>
        <v>0</v>
      </c>
      <c r="H328" s="33">
        <f>ROUND('[1]RESUMO DA PROPOSTA'!$C$18*F328,2)</f>
        <v>1313</v>
      </c>
      <c r="I328" s="33">
        <f t="shared" si="21"/>
        <v>0</v>
      </c>
      <c r="J328" s="34"/>
    </row>
    <row r="329" spans="1:10" x14ac:dyDescent="0.25">
      <c r="A329" s="62" t="s">
        <v>637</v>
      </c>
      <c r="B329" s="28">
        <v>5000011224</v>
      </c>
      <c r="C329" s="42" t="s">
        <v>638</v>
      </c>
      <c r="D329" s="35" t="s">
        <v>120</v>
      </c>
      <c r="E329" s="31"/>
      <c r="F329" s="32">
        <v>786.03</v>
      </c>
      <c r="G329" s="33">
        <f t="shared" si="20"/>
        <v>0</v>
      </c>
      <c r="H329" s="33">
        <f>ROUND('[1]RESUMO DA PROPOSTA'!$C$18*F329,2)</f>
        <v>1493.46</v>
      </c>
      <c r="I329" s="33">
        <f t="shared" si="21"/>
        <v>0</v>
      </c>
      <c r="J329" s="34"/>
    </row>
    <row r="330" spans="1:10" x14ac:dyDescent="0.25">
      <c r="A330" s="62" t="s">
        <v>639</v>
      </c>
      <c r="B330" s="28">
        <v>5000011225</v>
      </c>
      <c r="C330" s="42" t="s">
        <v>640</v>
      </c>
      <c r="D330" s="35" t="s">
        <v>120</v>
      </c>
      <c r="E330" s="31"/>
      <c r="F330" s="32">
        <v>822.01</v>
      </c>
      <c r="G330" s="33">
        <f t="shared" si="20"/>
        <v>0</v>
      </c>
      <c r="H330" s="33">
        <f>ROUND('[1]RESUMO DA PROPOSTA'!$C$18*F330,2)</f>
        <v>1561.82</v>
      </c>
      <c r="I330" s="33">
        <f t="shared" si="21"/>
        <v>0</v>
      </c>
      <c r="J330" s="34"/>
    </row>
    <row r="331" spans="1:10" x14ac:dyDescent="0.25">
      <c r="A331" s="62" t="s">
        <v>641</v>
      </c>
      <c r="B331" s="28">
        <v>5000011226</v>
      </c>
      <c r="C331" s="42" t="s">
        <v>642</v>
      </c>
      <c r="D331" s="35" t="s">
        <v>120</v>
      </c>
      <c r="E331" s="31"/>
      <c r="F331" s="32">
        <v>472.08</v>
      </c>
      <c r="G331" s="33">
        <f t="shared" si="20"/>
        <v>0</v>
      </c>
      <c r="H331" s="33">
        <f>ROUND('[1]RESUMO DA PROPOSTA'!$C$18*F331,2)</f>
        <v>896.95</v>
      </c>
      <c r="I331" s="33">
        <f t="shared" si="21"/>
        <v>0</v>
      </c>
      <c r="J331" s="34"/>
    </row>
    <row r="332" spans="1:10" x14ac:dyDescent="0.25">
      <c r="A332" s="62" t="s">
        <v>643</v>
      </c>
      <c r="B332" s="28">
        <v>5000011227</v>
      </c>
      <c r="C332" s="42" t="s">
        <v>644</v>
      </c>
      <c r="D332" s="35" t="s">
        <v>120</v>
      </c>
      <c r="E332" s="31"/>
      <c r="F332" s="32">
        <v>755.33</v>
      </c>
      <c r="G332" s="33">
        <f t="shared" si="20"/>
        <v>0</v>
      </c>
      <c r="H332" s="33">
        <f>ROUND('[1]RESUMO DA PROPOSTA'!$C$18*F332,2)</f>
        <v>1435.13</v>
      </c>
      <c r="I332" s="33">
        <f t="shared" si="21"/>
        <v>0</v>
      </c>
      <c r="J332" s="34"/>
    </row>
    <row r="333" spans="1:10" x14ac:dyDescent="0.25">
      <c r="A333" s="62" t="s">
        <v>645</v>
      </c>
      <c r="B333" s="28">
        <v>5000011228</v>
      </c>
      <c r="C333" s="42" t="s">
        <v>646</v>
      </c>
      <c r="D333" s="35" t="s">
        <v>120</v>
      </c>
      <c r="E333" s="31"/>
      <c r="F333" s="32">
        <v>808.69</v>
      </c>
      <c r="G333" s="33">
        <f t="shared" si="20"/>
        <v>0</v>
      </c>
      <c r="H333" s="33">
        <f>ROUND('[1]RESUMO DA PROPOSTA'!$C$18*F333,2)</f>
        <v>1536.51</v>
      </c>
      <c r="I333" s="33">
        <f t="shared" si="21"/>
        <v>0</v>
      </c>
      <c r="J333" s="34"/>
    </row>
    <row r="334" spans="1:10" x14ac:dyDescent="0.25">
      <c r="A334" s="62" t="s">
        <v>647</v>
      </c>
      <c r="B334" s="28">
        <v>5000011229</v>
      </c>
      <c r="C334" s="42" t="s">
        <v>648</v>
      </c>
      <c r="D334" s="35" t="s">
        <v>29</v>
      </c>
      <c r="E334" s="31"/>
      <c r="F334" s="32">
        <v>866.01</v>
      </c>
      <c r="G334" s="33">
        <f t="shared" si="20"/>
        <v>0</v>
      </c>
      <c r="H334" s="33">
        <f>ROUND('[1]RESUMO DA PROPOSTA'!$C$18*F334,2)</f>
        <v>1645.42</v>
      </c>
      <c r="I334" s="33">
        <f t="shared" si="21"/>
        <v>0</v>
      </c>
      <c r="J334" s="34"/>
    </row>
    <row r="335" spans="1:10" x14ac:dyDescent="0.25">
      <c r="A335" s="62" t="s">
        <v>649</v>
      </c>
      <c r="B335" s="28">
        <v>5000011230</v>
      </c>
      <c r="C335" s="42" t="s">
        <v>650</v>
      </c>
      <c r="D335" s="35" t="s">
        <v>29</v>
      </c>
      <c r="E335" s="31"/>
      <c r="F335" s="32">
        <v>868.19</v>
      </c>
      <c r="G335" s="33">
        <f t="shared" si="20"/>
        <v>0</v>
      </c>
      <c r="H335" s="33">
        <f>ROUND('[1]RESUMO DA PROPOSTA'!$C$18*F335,2)</f>
        <v>1649.56</v>
      </c>
      <c r="I335" s="33">
        <f t="shared" si="21"/>
        <v>0</v>
      </c>
      <c r="J335" s="34"/>
    </row>
    <row r="336" spans="1:10" x14ac:dyDescent="0.25">
      <c r="A336" s="62" t="s">
        <v>651</v>
      </c>
      <c r="B336" s="28">
        <v>5000011231</v>
      </c>
      <c r="C336" s="42" t="s">
        <v>652</v>
      </c>
      <c r="D336" s="35" t="s">
        <v>29</v>
      </c>
      <c r="E336" s="31"/>
      <c r="F336" s="32">
        <v>1159.57</v>
      </c>
      <c r="G336" s="33">
        <f t="shared" si="20"/>
        <v>0</v>
      </c>
      <c r="H336" s="33">
        <f>ROUND('[1]RESUMO DA PROPOSTA'!$C$18*F336,2)</f>
        <v>2203.1799999999998</v>
      </c>
      <c r="I336" s="33">
        <f t="shared" si="21"/>
        <v>0</v>
      </c>
      <c r="J336" s="34"/>
    </row>
    <row r="337" spans="1:10" x14ac:dyDescent="0.25">
      <c r="A337" s="62" t="s">
        <v>653</v>
      </c>
      <c r="B337" s="28">
        <v>5000011232</v>
      </c>
      <c r="C337" s="42" t="s">
        <v>654</v>
      </c>
      <c r="D337" s="35" t="s">
        <v>29</v>
      </c>
      <c r="E337" s="31"/>
      <c r="F337" s="32">
        <v>1807.52</v>
      </c>
      <c r="G337" s="33">
        <f t="shared" si="20"/>
        <v>0</v>
      </c>
      <c r="H337" s="33">
        <f>ROUND('[1]RESUMO DA PROPOSTA'!$C$18*F337,2)</f>
        <v>3434.29</v>
      </c>
      <c r="I337" s="33">
        <f t="shared" si="21"/>
        <v>0</v>
      </c>
      <c r="J337" s="34"/>
    </row>
    <row r="338" spans="1:10" x14ac:dyDescent="0.25">
      <c r="A338" s="62" t="s">
        <v>655</v>
      </c>
      <c r="B338" s="28">
        <v>5000011233</v>
      </c>
      <c r="C338" s="42" t="s">
        <v>656</v>
      </c>
      <c r="D338" s="35" t="s">
        <v>120</v>
      </c>
      <c r="E338" s="31"/>
      <c r="F338" s="32">
        <v>1936.93</v>
      </c>
      <c r="G338" s="33">
        <f t="shared" si="20"/>
        <v>0</v>
      </c>
      <c r="H338" s="33">
        <f>ROUND('[1]RESUMO DA PROPOSTA'!$C$18*F338,2)</f>
        <v>3680.17</v>
      </c>
      <c r="I338" s="33">
        <f t="shared" si="21"/>
        <v>0</v>
      </c>
      <c r="J338" s="34"/>
    </row>
    <row r="339" spans="1:10" x14ac:dyDescent="0.25">
      <c r="A339" s="62" t="s">
        <v>657</v>
      </c>
      <c r="B339" s="28">
        <v>3000018978</v>
      </c>
      <c r="C339" s="42" t="s">
        <v>658</v>
      </c>
      <c r="D339" s="35" t="s">
        <v>29</v>
      </c>
      <c r="E339" s="31"/>
      <c r="F339" s="32">
        <v>746.63</v>
      </c>
      <c r="G339" s="33">
        <f t="shared" si="20"/>
        <v>0</v>
      </c>
      <c r="H339" s="33">
        <f>ROUND('[1]RESUMO DA PROPOSTA'!$C$18*F339,2)</f>
        <v>1418.6</v>
      </c>
      <c r="I339" s="33">
        <f t="shared" si="21"/>
        <v>0</v>
      </c>
      <c r="J339" s="34"/>
    </row>
    <row r="340" spans="1:10" x14ac:dyDescent="0.25">
      <c r="A340" s="62" t="s">
        <v>659</v>
      </c>
      <c r="B340" s="28">
        <v>5000007485</v>
      </c>
      <c r="C340" s="42" t="s">
        <v>660</v>
      </c>
      <c r="D340" s="35" t="s">
        <v>29</v>
      </c>
      <c r="E340" s="31"/>
      <c r="F340" s="32">
        <v>2678.2</v>
      </c>
      <c r="G340" s="33">
        <f t="shared" si="20"/>
        <v>0</v>
      </c>
      <c r="H340" s="33">
        <f>ROUND('[1]RESUMO DA PROPOSTA'!$C$18*F340,2)</f>
        <v>5088.58</v>
      </c>
      <c r="I340" s="33">
        <f t="shared" si="21"/>
        <v>0</v>
      </c>
      <c r="J340" s="34"/>
    </row>
    <row r="341" spans="1:10" x14ac:dyDescent="0.25">
      <c r="A341" s="62" t="s">
        <v>661</v>
      </c>
      <c r="B341" s="28">
        <v>3000019062</v>
      </c>
      <c r="C341" s="42" t="s">
        <v>662</v>
      </c>
      <c r="D341" s="35" t="s">
        <v>29</v>
      </c>
      <c r="E341" s="31"/>
      <c r="F341" s="32">
        <v>878.55</v>
      </c>
      <c r="G341" s="33">
        <f t="shared" si="20"/>
        <v>0</v>
      </c>
      <c r="H341" s="33">
        <f>ROUND('[1]RESUMO DA PROPOSTA'!$C$18*F341,2)</f>
        <v>1669.25</v>
      </c>
      <c r="I341" s="33">
        <f t="shared" si="21"/>
        <v>0</v>
      </c>
      <c r="J341" s="34"/>
    </row>
    <row r="342" spans="1:10" x14ac:dyDescent="0.25">
      <c r="A342" s="62" t="s">
        <v>663</v>
      </c>
      <c r="B342" s="28">
        <v>3000018979</v>
      </c>
      <c r="C342" s="42" t="s">
        <v>664</v>
      </c>
      <c r="D342" s="35" t="s">
        <v>29</v>
      </c>
      <c r="E342" s="31"/>
      <c r="F342" s="32">
        <v>1448.44</v>
      </c>
      <c r="G342" s="33">
        <f t="shared" si="20"/>
        <v>0</v>
      </c>
      <c r="H342" s="33">
        <f>ROUND('[1]RESUMO DA PROPOSTA'!$C$18*F342,2)</f>
        <v>2752.04</v>
      </c>
      <c r="I342" s="33">
        <f t="shared" si="21"/>
        <v>0</v>
      </c>
      <c r="J342" s="34"/>
    </row>
    <row r="343" spans="1:10" x14ac:dyDescent="0.25">
      <c r="A343" s="62" t="s">
        <v>665</v>
      </c>
      <c r="B343" s="28">
        <v>5000011443</v>
      </c>
      <c r="C343" s="42" t="s">
        <v>666</v>
      </c>
      <c r="D343" s="35" t="s">
        <v>29</v>
      </c>
      <c r="E343" s="31"/>
      <c r="F343" s="32">
        <v>1159.76</v>
      </c>
      <c r="G343" s="33">
        <f t="shared" si="20"/>
        <v>0</v>
      </c>
      <c r="H343" s="33">
        <f>ROUND('[1]RESUMO DA PROPOSTA'!$C$18*F343,2)</f>
        <v>2203.54</v>
      </c>
      <c r="I343" s="33">
        <f t="shared" si="21"/>
        <v>0</v>
      </c>
      <c r="J343" s="34"/>
    </row>
    <row r="344" spans="1:10" x14ac:dyDescent="0.25">
      <c r="A344" s="62" t="s">
        <v>667</v>
      </c>
      <c r="B344" s="28">
        <v>3000018981</v>
      </c>
      <c r="C344" s="42" t="s">
        <v>668</v>
      </c>
      <c r="D344" s="35" t="s">
        <v>29</v>
      </c>
      <c r="E344" s="31"/>
      <c r="F344" s="32">
        <v>2850.5</v>
      </c>
      <c r="G344" s="33">
        <f t="shared" si="20"/>
        <v>0</v>
      </c>
      <c r="H344" s="33">
        <f>ROUND('[1]RESUMO DA PROPOSTA'!$C$18*F344,2)</f>
        <v>5415.95</v>
      </c>
      <c r="I344" s="33">
        <f t="shared" si="21"/>
        <v>0</v>
      </c>
      <c r="J344" s="34"/>
    </row>
    <row r="345" spans="1:10" x14ac:dyDescent="0.25">
      <c r="A345" s="62" t="s">
        <v>669</v>
      </c>
      <c r="B345" s="28">
        <v>5000005300</v>
      </c>
      <c r="C345" s="42" t="s">
        <v>670</v>
      </c>
      <c r="D345" s="35" t="s">
        <v>29</v>
      </c>
      <c r="E345" s="31"/>
      <c r="F345" s="32">
        <v>1630.08</v>
      </c>
      <c r="G345" s="33">
        <f t="shared" si="20"/>
        <v>0</v>
      </c>
      <c r="H345" s="33">
        <f>ROUND('[1]RESUMO DA PROPOSTA'!$C$18*F345,2)</f>
        <v>3097.15</v>
      </c>
      <c r="I345" s="33">
        <f t="shared" si="21"/>
        <v>0</v>
      </c>
      <c r="J345" s="34"/>
    </row>
    <row r="346" spans="1:10" x14ac:dyDescent="0.25">
      <c r="A346" s="62" t="s">
        <v>671</v>
      </c>
      <c r="B346" s="28">
        <v>5000007485</v>
      </c>
      <c r="C346" s="42" t="s">
        <v>672</v>
      </c>
      <c r="D346" s="35" t="s">
        <v>29</v>
      </c>
      <c r="E346" s="31"/>
      <c r="F346" s="32">
        <v>2678.2</v>
      </c>
      <c r="G346" s="33">
        <f t="shared" si="20"/>
        <v>0</v>
      </c>
      <c r="H346" s="33">
        <f>ROUND('[1]RESUMO DA PROPOSTA'!$C$18*F346,2)</f>
        <v>5088.58</v>
      </c>
      <c r="I346" s="33">
        <f t="shared" si="21"/>
        <v>0</v>
      </c>
      <c r="J346" s="34"/>
    </row>
    <row r="347" spans="1:10" x14ac:dyDescent="0.25">
      <c r="A347" s="62" t="s">
        <v>673</v>
      </c>
      <c r="B347" s="28">
        <v>3000018982</v>
      </c>
      <c r="C347" s="42" t="s">
        <v>674</v>
      </c>
      <c r="D347" s="35" t="s">
        <v>29</v>
      </c>
      <c r="E347" s="31"/>
      <c r="F347" s="32">
        <v>4699.25</v>
      </c>
      <c r="G347" s="33">
        <f t="shared" si="20"/>
        <v>0</v>
      </c>
      <c r="H347" s="33">
        <f>ROUND('[1]RESUMO DA PROPOSTA'!$C$18*F347,2)</f>
        <v>8928.58</v>
      </c>
      <c r="I347" s="33">
        <f t="shared" si="21"/>
        <v>0</v>
      </c>
      <c r="J347" s="34"/>
    </row>
    <row r="348" spans="1:10" x14ac:dyDescent="0.25">
      <c r="A348" s="62" t="s">
        <v>675</v>
      </c>
      <c r="B348" s="28">
        <v>3000018517</v>
      </c>
      <c r="C348" s="42" t="s">
        <v>676</v>
      </c>
      <c r="D348" s="35" t="s">
        <v>29</v>
      </c>
      <c r="E348" s="31"/>
      <c r="F348" s="32">
        <v>3928.45</v>
      </c>
      <c r="G348" s="33">
        <f t="shared" si="20"/>
        <v>0</v>
      </c>
      <c r="H348" s="33">
        <f>ROUND('[1]RESUMO DA PROPOSTA'!$C$18*F348,2)</f>
        <v>7464.06</v>
      </c>
      <c r="I348" s="33">
        <f t="shared" si="21"/>
        <v>0</v>
      </c>
      <c r="J348" s="34"/>
    </row>
    <row r="349" spans="1:10" x14ac:dyDescent="0.25">
      <c r="A349" s="62" t="s">
        <v>677</v>
      </c>
      <c r="B349" s="28">
        <v>5000005301</v>
      </c>
      <c r="C349" s="42" t="s">
        <v>678</v>
      </c>
      <c r="D349" s="35" t="s">
        <v>29</v>
      </c>
      <c r="E349" s="31"/>
      <c r="F349" s="32">
        <v>2181.04</v>
      </c>
      <c r="G349" s="33">
        <f t="shared" si="20"/>
        <v>0</v>
      </c>
      <c r="H349" s="33">
        <f>ROUND('[1]RESUMO DA PROPOSTA'!$C$18*F349,2)</f>
        <v>4143.9799999999996</v>
      </c>
      <c r="I349" s="33">
        <f t="shared" si="21"/>
        <v>0</v>
      </c>
      <c r="J349" s="34"/>
    </row>
    <row r="350" spans="1:10" x14ac:dyDescent="0.25">
      <c r="A350" s="62" t="s">
        <v>679</v>
      </c>
      <c r="B350" s="28">
        <v>5000007485</v>
      </c>
      <c r="C350" s="42" t="s">
        <v>680</v>
      </c>
      <c r="D350" s="35" t="s">
        <v>29</v>
      </c>
      <c r="E350" s="31"/>
      <c r="F350" s="32">
        <v>2678.2</v>
      </c>
      <c r="G350" s="33">
        <f t="shared" si="20"/>
        <v>0</v>
      </c>
      <c r="H350" s="33">
        <f>ROUND('[1]RESUMO DA PROPOSTA'!$C$18*F350,2)</f>
        <v>5088.58</v>
      </c>
      <c r="I350" s="33">
        <f t="shared" si="21"/>
        <v>0</v>
      </c>
      <c r="J350" s="34"/>
    </row>
    <row r="351" spans="1:10" x14ac:dyDescent="0.25">
      <c r="A351" s="62" t="s">
        <v>681</v>
      </c>
      <c r="B351" s="28">
        <v>5000007485</v>
      </c>
      <c r="C351" s="42" t="s">
        <v>682</v>
      </c>
      <c r="D351" s="35" t="s">
        <v>29</v>
      </c>
      <c r="E351" s="31"/>
      <c r="F351" s="32">
        <v>2678.2</v>
      </c>
      <c r="G351" s="33">
        <f t="shared" si="20"/>
        <v>0</v>
      </c>
      <c r="H351" s="33">
        <f>ROUND('[1]RESUMO DA PROPOSTA'!$C$18*F351,2)</f>
        <v>5088.58</v>
      </c>
      <c r="I351" s="33">
        <f t="shared" si="21"/>
        <v>0</v>
      </c>
      <c r="J351" s="34"/>
    </row>
    <row r="352" spans="1:10" ht="25.5" x14ac:dyDescent="0.25">
      <c r="A352" s="62" t="s">
        <v>683</v>
      </c>
      <c r="B352" s="28">
        <v>5000006652</v>
      </c>
      <c r="C352" s="42" t="s">
        <v>684</v>
      </c>
      <c r="D352" s="35" t="s">
        <v>120</v>
      </c>
      <c r="E352" s="31">
        <v>24</v>
      </c>
      <c r="F352" s="32">
        <v>647.46</v>
      </c>
      <c r="G352" s="33">
        <f t="shared" si="20"/>
        <v>15539.04</v>
      </c>
      <c r="H352" s="33">
        <f>ROUND('[1]RESUMO DA PROPOSTA'!$C$18*F352,2)</f>
        <v>1230.17</v>
      </c>
      <c r="I352" s="33">
        <f t="shared" si="21"/>
        <v>29524.080000000002</v>
      </c>
      <c r="J352" s="34"/>
    </row>
    <row r="353" spans="1:10" ht="25.5" x14ac:dyDescent="0.25">
      <c r="A353" s="62" t="s">
        <v>685</v>
      </c>
      <c r="B353" s="28">
        <v>5000007477</v>
      </c>
      <c r="C353" s="42" t="s">
        <v>686</v>
      </c>
      <c r="D353" s="35" t="s">
        <v>120</v>
      </c>
      <c r="E353" s="31"/>
      <c r="F353" s="32">
        <v>780.25</v>
      </c>
      <c r="G353" s="33">
        <f t="shared" si="20"/>
        <v>0</v>
      </c>
      <c r="H353" s="33">
        <f>ROUND('[1]RESUMO DA PROPOSTA'!$C$18*F353,2)</f>
        <v>1482.48</v>
      </c>
      <c r="I353" s="33">
        <f t="shared" si="21"/>
        <v>0</v>
      </c>
      <c r="J353" s="34"/>
    </row>
    <row r="354" spans="1:10" ht="25.5" x14ac:dyDescent="0.25">
      <c r="A354" s="62" t="s">
        <v>687</v>
      </c>
      <c r="B354" s="28">
        <v>5000006653</v>
      </c>
      <c r="C354" s="42" t="s">
        <v>688</v>
      </c>
      <c r="D354" s="35" t="s">
        <v>120</v>
      </c>
      <c r="E354" s="31">
        <v>1</v>
      </c>
      <c r="F354" s="32">
        <v>533.72</v>
      </c>
      <c r="G354" s="33">
        <f t="shared" si="20"/>
        <v>533.72</v>
      </c>
      <c r="H354" s="33">
        <f>ROUND('[1]RESUMO DA PROPOSTA'!$C$18*F354,2)</f>
        <v>1014.07</v>
      </c>
      <c r="I354" s="33">
        <f t="shared" si="21"/>
        <v>1014.07</v>
      </c>
      <c r="J354" s="34"/>
    </row>
    <row r="355" spans="1:10" ht="25.5" x14ac:dyDescent="0.25">
      <c r="A355" s="62" t="s">
        <v>689</v>
      </c>
      <c r="B355" s="28">
        <v>5000006654</v>
      </c>
      <c r="C355" s="42" t="s">
        <v>690</v>
      </c>
      <c r="D355" s="35" t="s">
        <v>120</v>
      </c>
      <c r="E355" s="31"/>
      <c r="F355" s="32">
        <v>480.27</v>
      </c>
      <c r="G355" s="33">
        <f t="shared" si="20"/>
        <v>0</v>
      </c>
      <c r="H355" s="33">
        <f>ROUND('[1]RESUMO DA PROPOSTA'!$C$18*F355,2)</f>
        <v>912.51</v>
      </c>
      <c r="I355" s="33">
        <f t="shared" si="21"/>
        <v>0</v>
      </c>
      <c r="J355" s="34"/>
    </row>
    <row r="356" spans="1:10" ht="25.5" x14ac:dyDescent="0.25">
      <c r="A356" s="62" t="s">
        <v>691</v>
      </c>
      <c r="B356" s="28">
        <v>3000007929</v>
      </c>
      <c r="C356" s="42" t="s">
        <v>692</v>
      </c>
      <c r="D356" s="35" t="s">
        <v>120</v>
      </c>
      <c r="E356" s="31"/>
      <c r="F356" s="32">
        <v>2698.83</v>
      </c>
      <c r="G356" s="33">
        <f t="shared" si="20"/>
        <v>0</v>
      </c>
      <c r="H356" s="33">
        <f>ROUND('[1]RESUMO DA PROPOSTA'!$C$18*F356,2)</f>
        <v>5127.78</v>
      </c>
      <c r="I356" s="33">
        <f t="shared" si="21"/>
        <v>0</v>
      </c>
      <c r="J356" s="34"/>
    </row>
    <row r="357" spans="1:10" ht="25.5" x14ac:dyDescent="0.25">
      <c r="A357" s="62" t="s">
        <v>693</v>
      </c>
      <c r="B357" s="28">
        <v>5000007478</v>
      </c>
      <c r="C357" s="42" t="s">
        <v>694</v>
      </c>
      <c r="D357" s="35" t="s">
        <v>178</v>
      </c>
      <c r="E357" s="31"/>
      <c r="F357" s="32">
        <v>3836.74</v>
      </c>
      <c r="G357" s="33">
        <f t="shared" si="20"/>
        <v>0</v>
      </c>
      <c r="H357" s="33">
        <f>ROUND('[1]RESUMO DA PROPOSTA'!$C$18*F357,2)</f>
        <v>7289.81</v>
      </c>
      <c r="I357" s="33">
        <f t="shared" si="21"/>
        <v>0</v>
      </c>
      <c r="J357" s="34"/>
    </row>
    <row r="358" spans="1:10" ht="25.5" x14ac:dyDescent="0.25">
      <c r="A358" s="62" t="s">
        <v>695</v>
      </c>
      <c r="B358" s="28">
        <v>3000007930</v>
      </c>
      <c r="C358" s="42" t="s">
        <v>696</v>
      </c>
      <c r="D358" s="35" t="s">
        <v>120</v>
      </c>
      <c r="E358" s="31"/>
      <c r="F358" s="32">
        <v>1569.67</v>
      </c>
      <c r="G358" s="33">
        <f t="shared" si="20"/>
        <v>0</v>
      </c>
      <c r="H358" s="33">
        <f>ROUND('[1]RESUMO DA PROPOSTA'!$C$18*F358,2)</f>
        <v>2982.37</v>
      </c>
      <c r="I358" s="33">
        <f t="shared" si="21"/>
        <v>0</v>
      </c>
      <c r="J358" s="34"/>
    </row>
    <row r="359" spans="1:10" ht="25.5" x14ac:dyDescent="0.25">
      <c r="A359" s="62" t="s">
        <v>697</v>
      </c>
      <c r="B359" s="28">
        <v>5000007402</v>
      </c>
      <c r="C359" s="42" t="s">
        <v>698</v>
      </c>
      <c r="D359" s="35" t="s">
        <v>178</v>
      </c>
      <c r="E359" s="31"/>
      <c r="F359" s="32">
        <v>931.99</v>
      </c>
      <c r="G359" s="33">
        <f t="shared" si="20"/>
        <v>0</v>
      </c>
      <c r="H359" s="33">
        <f>ROUND('[1]RESUMO DA PROPOSTA'!$C$18*F359,2)</f>
        <v>1770.78</v>
      </c>
      <c r="I359" s="33">
        <f t="shared" si="21"/>
        <v>0</v>
      </c>
      <c r="J359" s="34"/>
    </row>
    <row r="360" spans="1:10" x14ac:dyDescent="0.25">
      <c r="A360" s="62" t="s">
        <v>699</v>
      </c>
      <c r="B360" s="28">
        <v>5000007479</v>
      </c>
      <c r="C360" s="42" t="s">
        <v>700</v>
      </c>
      <c r="D360" s="35" t="s">
        <v>178</v>
      </c>
      <c r="E360" s="31"/>
      <c r="F360" s="32">
        <v>1816.06</v>
      </c>
      <c r="G360" s="33">
        <f t="shared" si="20"/>
        <v>0</v>
      </c>
      <c r="H360" s="33">
        <f>ROUND('[1]RESUMO DA PROPOSTA'!$C$18*F360,2)</f>
        <v>3450.51</v>
      </c>
      <c r="I360" s="33">
        <f t="shared" si="21"/>
        <v>0</v>
      </c>
      <c r="J360" s="34"/>
    </row>
    <row r="361" spans="1:10" ht="25.5" x14ac:dyDescent="0.25">
      <c r="A361" s="58" t="s">
        <v>701</v>
      </c>
      <c r="B361" s="28"/>
      <c r="C361" s="42" t="s">
        <v>702</v>
      </c>
      <c r="D361" s="35" t="s">
        <v>120</v>
      </c>
      <c r="E361" s="31"/>
      <c r="F361" s="32">
        <v>586.16999999999996</v>
      </c>
      <c r="G361" s="33">
        <f t="shared" si="20"/>
        <v>0</v>
      </c>
      <c r="H361" s="33">
        <f>ROUND('[1]RESUMO DA PROPOSTA'!$C$18*F361,2)</f>
        <v>1113.72</v>
      </c>
      <c r="I361" s="33">
        <f t="shared" si="21"/>
        <v>0</v>
      </c>
      <c r="J361" s="34"/>
    </row>
    <row r="362" spans="1:10" ht="25.5" x14ac:dyDescent="0.25">
      <c r="A362" s="58" t="s">
        <v>703</v>
      </c>
      <c r="B362" s="28"/>
      <c r="C362" s="42" t="s">
        <v>704</v>
      </c>
      <c r="D362" s="35" t="s">
        <v>120</v>
      </c>
      <c r="E362" s="31"/>
      <c r="F362" s="32">
        <v>531.39</v>
      </c>
      <c r="G362" s="33">
        <f t="shared" si="20"/>
        <v>0</v>
      </c>
      <c r="H362" s="33">
        <f>ROUND('[1]RESUMO DA PROPOSTA'!$C$18*F362,2)</f>
        <v>1009.64</v>
      </c>
      <c r="I362" s="33">
        <f t="shared" si="21"/>
        <v>0</v>
      </c>
      <c r="J362" s="34"/>
    </row>
    <row r="363" spans="1:10" ht="25.5" x14ac:dyDescent="0.25">
      <c r="A363" s="58" t="s">
        <v>705</v>
      </c>
      <c r="B363" s="28"/>
      <c r="C363" s="42" t="s">
        <v>706</v>
      </c>
      <c r="D363" s="35" t="s">
        <v>120</v>
      </c>
      <c r="E363" s="31"/>
      <c r="F363" s="32">
        <v>390.67</v>
      </c>
      <c r="G363" s="33">
        <f t="shared" si="20"/>
        <v>0</v>
      </c>
      <c r="H363" s="33">
        <f>ROUND('[1]RESUMO DA PROPOSTA'!$C$18*F363,2)</f>
        <v>742.27</v>
      </c>
      <c r="I363" s="33">
        <f t="shared" si="21"/>
        <v>0</v>
      </c>
      <c r="J363" s="34"/>
    </row>
    <row r="364" spans="1:10" ht="25.5" x14ac:dyDescent="0.25">
      <c r="A364" s="62" t="s">
        <v>707</v>
      </c>
      <c r="B364" s="28">
        <v>5000007404</v>
      </c>
      <c r="C364" s="42" t="s">
        <v>708</v>
      </c>
      <c r="D364" s="35" t="s">
        <v>120</v>
      </c>
      <c r="E364" s="31"/>
      <c r="F364" s="32">
        <v>197.94</v>
      </c>
      <c r="G364" s="33">
        <f t="shared" si="20"/>
        <v>0</v>
      </c>
      <c r="H364" s="33">
        <f>ROUND('[1]RESUMO DA PROPOSTA'!$C$18*F364,2)</f>
        <v>376.09</v>
      </c>
      <c r="I364" s="33">
        <f t="shared" si="21"/>
        <v>0</v>
      </c>
      <c r="J364" s="34"/>
    </row>
    <row r="365" spans="1:10" ht="25.5" x14ac:dyDescent="0.25">
      <c r="A365" s="62" t="s">
        <v>709</v>
      </c>
      <c r="B365" s="28">
        <v>5000007404</v>
      </c>
      <c r="C365" s="42" t="s">
        <v>710</v>
      </c>
      <c r="D365" s="35" t="s">
        <v>120</v>
      </c>
      <c r="E365" s="31"/>
      <c r="F365" s="32">
        <v>197.94</v>
      </c>
      <c r="G365" s="33">
        <f t="shared" si="20"/>
        <v>0</v>
      </c>
      <c r="H365" s="33">
        <f>ROUND('[1]RESUMO DA PROPOSTA'!$C$18*F365,2)</f>
        <v>376.09</v>
      </c>
      <c r="I365" s="33">
        <f t="shared" si="21"/>
        <v>0</v>
      </c>
      <c r="J365" s="34"/>
    </row>
    <row r="366" spans="1:10" ht="25.5" x14ac:dyDescent="0.25">
      <c r="A366" s="62" t="s">
        <v>711</v>
      </c>
      <c r="B366" s="28">
        <v>5000007404</v>
      </c>
      <c r="C366" s="42" t="s">
        <v>712</v>
      </c>
      <c r="D366" s="35" t="s">
        <v>120</v>
      </c>
      <c r="E366" s="31"/>
      <c r="F366" s="32">
        <v>197.94</v>
      </c>
      <c r="G366" s="33">
        <f t="shared" si="20"/>
        <v>0</v>
      </c>
      <c r="H366" s="33">
        <f>ROUND('[1]RESUMO DA PROPOSTA'!$C$18*F366,2)</f>
        <v>376.09</v>
      </c>
      <c r="I366" s="33">
        <f t="shared" si="21"/>
        <v>0</v>
      </c>
      <c r="J366" s="34"/>
    </row>
    <row r="367" spans="1:10" x14ac:dyDescent="0.25">
      <c r="A367" s="62" t="s">
        <v>713</v>
      </c>
      <c r="B367" s="28">
        <v>5000007405</v>
      </c>
      <c r="C367" s="42" t="s">
        <v>714</v>
      </c>
      <c r="D367" s="35" t="s">
        <v>120</v>
      </c>
      <c r="E367" s="31"/>
      <c r="F367" s="32">
        <v>605.76</v>
      </c>
      <c r="G367" s="33">
        <f t="shared" si="20"/>
        <v>0</v>
      </c>
      <c r="H367" s="33">
        <f>ROUND('[1]RESUMO DA PROPOSTA'!$C$18*F367,2)</f>
        <v>1150.94</v>
      </c>
      <c r="I367" s="33">
        <f t="shared" si="21"/>
        <v>0</v>
      </c>
      <c r="J367" s="34"/>
    </row>
    <row r="368" spans="1:10" x14ac:dyDescent="0.25">
      <c r="A368" s="62" t="s">
        <v>715</v>
      </c>
      <c r="B368" s="28"/>
      <c r="C368" s="42" t="s">
        <v>716</v>
      </c>
      <c r="D368" s="35" t="s">
        <v>120</v>
      </c>
      <c r="E368" s="31"/>
      <c r="F368" s="32">
        <v>838.89</v>
      </c>
      <c r="G368" s="33">
        <f t="shared" si="20"/>
        <v>0</v>
      </c>
      <c r="H368" s="33">
        <f>ROUND('[1]RESUMO DA PROPOSTA'!$C$18*F368,2)</f>
        <v>1593.89</v>
      </c>
      <c r="I368" s="33">
        <f t="shared" si="21"/>
        <v>0</v>
      </c>
      <c r="J368" s="34"/>
    </row>
    <row r="369" spans="1:10" x14ac:dyDescent="0.25">
      <c r="A369" s="62" t="s">
        <v>717</v>
      </c>
      <c r="B369" s="28"/>
      <c r="C369" s="42" t="s">
        <v>718</v>
      </c>
      <c r="D369" s="35" t="s">
        <v>120</v>
      </c>
      <c r="E369" s="31"/>
      <c r="F369" s="32">
        <v>1136.69</v>
      </c>
      <c r="G369" s="33">
        <f t="shared" si="20"/>
        <v>0</v>
      </c>
      <c r="H369" s="33">
        <f>ROUND('[1]RESUMO DA PROPOSTA'!$C$18*F369,2)</f>
        <v>2159.71</v>
      </c>
      <c r="I369" s="33">
        <f t="shared" si="21"/>
        <v>0</v>
      </c>
      <c r="J369" s="34"/>
    </row>
    <row r="370" spans="1:10" x14ac:dyDescent="0.25">
      <c r="A370" s="62" t="s">
        <v>719</v>
      </c>
      <c r="B370" s="28"/>
      <c r="C370" s="42" t="s">
        <v>720</v>
      </c>
      <c r="D370" s="35" t="s">
        <v>120</v>
      </c>
      <c r="E370" s="31"/>
      <c r="F370" s="32">
        <v>1342.59</v>
      </c>
      <c r="G370" s="33">
        <f t="shared" si="20"/>
        <v>0</v>
      </c>
      <c r="H370" s="33">
        <f>ROUND('[1]RESUMO DA PROPOSTA'!$C$18*F370,2)</f>
        <v>2550.92</v>
      </c>
      <c r="I370" s="33">
        <f t="shared" si="21"/>
        <v>0</v>
      </c>
      <c r="J370" s="34"/>
    </row>
    <row r="371" spans="1:10" x14ac:dyDescent="0.25">
      <c r="A371" s="62" t="s">
        <v>721</v>
      </c>
      <c r="B371" s="28">
        <v>5000007406</v>
      </c>
      <c r="C371" s="42" t="s">
        <v>722</v>
      </c>
      <c r="D371" s="35" t="s">
        <v>120</v>
      </c>
      <c r="E371" s="31"/>
      <c r="F371" s="32">
        <v>466.72</v>
      </c>
      <c r="G371" s="33">
        <f t="shared" si="20"/>
        <v>0</v>
      </c>
      <c r="H371" s="33">
        <f>ROUND('[1]RESUMO DA PROPOSTA'!$C$18*F371,2)</f>
        <v>886.77</v>
      </c>
      <c r="I371" s="33">
        <f t="shared" si="21"/>
        <v>0</v>
      </c>
      <c r="J371" s="34"/>
    </row>
    <row r="372" spans="1:10" x14ac:dyDescent="0.25">
      <c r="A372" s="62" t="s">
        <v>723</v>
      </c>
      <c r="B372" s="28"/>
      <c r="C372" s="42" t="s">
        <v>724</v>
      </c>
      <c r="D372" s="35" t="s">
        <v>120</v>
      </c>
      <c r="E372" s="31"/>
      <c r="F372" s="32">
        <v>635.11</v>
      </c>
      <c r="G372" s="33">
        <f t="shared" si="20"/>
        <v>0</v>
      </c>
      <c r="H372" s="33">
        <f>ROUND('[1]RESUMO DA PROPOSTA'!$C$18*F372,2)</f>
        <v>1206.71</v>
      </c>
      <c r="I372" s="33">
        <f t="shared" si="21"/>
        <v>0</v>
      </c>
      <c r="J372" s="34"/>
    </row>
    <row r="373" spans="1:10" x14ac:dyDescent="0.25">
      <c r="A373" s="62" t="s">
        <v>725</v>
      </c>
      <c r="B373" s="28"/>
      <c r="C373" s="42" t="s">
        <v>726</v>
      </c>
      <c r="D373" s="35" t="s">
        <v>120</v>
      </c>
      <c r="E373" s="31"/>
      <c r="F373" s="32">
        <v>844.14</v>
      </c>
      <c r="G373" s="33">
        <f t="shared" si="20"/>
        <v>0</v>
      </c>
      <c r="H373" s="33">
        <f>ROUND('[1]RESUMO DA PROPOSTA'!$C$18*F373,2)</f>
        <v>1603.87</v>
      </c>
      <c r="I373" s="33">
        <f t="shared" si="21"/>
        <v>0</v>
      </c>
      <c r="J373" s="34"/>
    </row>
    <row r="374" spans="1:10" x14ac:dyDescent="0.25">
      <c r="A374" s="62" t="s">
        <v>727</v>
      </c>
      <c r="B374" s="28"/>
      <c r="C374" s="42" t="s">
        <v>728</v>
      </c>
      <c r="D374" s="35" t="s">
        <v>120</v>
      </c>
      <c r="E374" s="31"/>
      <c r="F374" s="32">
        <v>1073.77</v>
      </c>
      <c r="G374" s="33">
        <f t="shared" si="20"/>
        <v>0</v>
      </c>
      <c r="H374" s="33">
        <f>ROUND('[1]RESUMO DA PROPOSTA'!$C$18*F374,2)</f>
        <v>2040.16</v>
      </c>
      <c r="I374" s="33">
        <f t="shared" si="21"/>
        <v>0</v>
      </c>
      <c r="J374" s="34"/>
    </row>
    <row r="375" spans="1:10" x14ac:dyDescent="0.25">
      <c r="A375" s="62" t="s">
        <v>729</v>
      </c>
      <c r="B375" s="28">
        <v>5000011444</v>
      </c>
      <c r="C375" s="42" t="s">
        <v>730</v>
      </c>
      <c r="D375" s="35" t="s">
        <v>120</v>
      </c>
      <c r="E375" s="31"/>
      <c r="F375" s="32">
        <v>82.03</v>
      </c>
      <c r="G375" s="33">
        <f t="shared" si="20"/>
        <v>0</v>
      </c>
      <c r="H375" s="33">
        <f>ROUND('[1]RESUMO DA PROPOSTA'!$C$18*F375,2)</f>
        <v>155.86000000000001</v>
      </c>
      <c r="I375" s="33">
        <f t="shared" si="21"/>
        <v>0</v>
      </c>
      <c r="J375" s="34"/>
    </row>
    <row r="376" spans="1:10" ht="15.75" x14ac:dyDescent="0.25">
      <c r="A376" s="43" t="s">
        <v>731</v>
      </c>
      <c r="B376" s="44"/>
      <c r="C376" s="45" t="s">
        <v>732</v>
      </c>
      <c r="D376" s="46"/>
      <c r="E376" s="47"/>
      <c r="F376" s="48" t="s">
        <v>17</v>
      </c>
      <c r="G376" s="49">
        <f>SUBTOTAL(9,G377:G417)</f>
        <v>0</v>
      </c>
      <c r="H376" s="48" t="s">
        <v>17</v>
      </c>
      <c r="I376" s="49">
        <f>SUBTOTAL(9,I377:I417)</f>
        <v>0</v>
      </c>
      <c r="J376" s="50"/>
    </row>
    <row r="377" spans="1:10" x14ac:dyDescent="0.25">
      <c r="A377" s="41" t="s">
        <v>733</v>
      </c>
      <c r="B377" s="28">
        <v>5000011445</v>
      </c>
      <c r="C377" s="42" t="s">
        <v>734</v>
      </c>
      <c r="D377" s="35" t="s">
        <v>120</v>
      </c>
      <c r="E377" s="31"/>
      <c r="F377" s="32">
        <v>144.65</v>
      </c>
      <c r="G377" s="33">
        <f t="shared" ref="G377:G417" si="22">ROUND(E377*F377,2)</f>
        <v>0</v>
      </c>
      <c r="H377" s="33">
        <f>ROUND('[1]RESUMO DA PROPOSTA'!$C$18*F377,2)</f>
        <v>274.83999999999997</v>
      </c>
      <c r="I377" s="33">
        <f t="shared" ref="I377:I417" si="23">ROUND(E377*H377,2)</f>
        <v>0</v>
      </c>
      <c r="J377" s="34"/>
    </row>
    <row r="378" spans="1:10" x14ac:dyDescent="0.25">
      <c r="A378" s="41" t="s">
        <v>735</v>
      </c>
      <c r="B378" s="28">
        <v>5000011234</v>
      </c>
      <c r="C378" s="42" t="s">
        <v>736</v>
      </c>
      <c r="D378" s="35" t="s">
        <v>29</v>
      </c>
      <c r="E378" s="31"/>
      <c r="F378" s="32">
        <v>190.98</v>
      </c>
      <c r="G378" s="33">
        <f t="shared" si="22"/>
        <v>0</v>
      </c>
      <c r="H378" s="33">
        <f>ROUND('[1]RESUMO DA PROPOSTA'!$C$18*F378,2)</f>
        <v>362.86</v>
      </c>
      <c r="I378" s="33">
        <f t="shared" si="23"/>
        <v>0</v>
      </c>
      <c r="J378" s="34"/>
    </row>
    <row r="379" spans="1:10" x14ac:dyDescent="0.25">
      <c r="A379" s="41" t="s">
        <v>737</v>
      </c>
      <c r="B379" s="28">
        <v>5000011446</v>
      </c>
      <c r="C379" s="42" t="s">
        <v>738</v>
      </c>
      <c r="D379" s="35" t="s">
        <v>120</v>
      </c>
      <c r="E379" s="31"/>
      <c r="F379" s="32">
        <v>267.54000000000002</v>
      </c>
      <c r="G379" s="33">
        <f t="shared" si="22"/>
        <v>0</v>
      </c>
      <c r="H379" s="33">
        <f>ROUND('[1]RESUMO DA PROPOSTA'!$C$18*F379,2)</f>
        <v>508.33</v>
      </c>
      <c r="I379" s="33">
        <f t="shared" si="23"/>
        <v>0</v>
      </c>
      <c r="J379" s="34"/>
    </row>
    <row r="380" spans="1:10" x14ac:dyDescent="0.25">
      <c r="A380" s="41" t="s">
        <v>739</v>
      </c>
      <c r="B380" s="28">
        <v>5000011235</v>
      </c>
      <c r="C380" s="42" t="s">
        <v>740</v>
      </c>
      <c r="D380" s="35" t="s">
        <v>120</v>
      </c>
      <c r="E380" s="31"/>
      <c r="F380" s="32">
        <v>130.85</v>
      </c>
      <c r="G380" s="33">
        <f t="shared" si="22"/>
        <v>0</v>
      </c>
      <c r="H380" s="33">
        <f>ROUND('[1]RESUMO DA PROPOSTA'!$C$18*F380,2)</f>
        <v>248.62</v>
      </c>
      <c r="I380" s="33">
        <f t="shared" si="23"/>
        <v>0</v>
      </c>
      <c r="J380" s="34"/>
    </row>
    <row r="381" spans="1:10" x14ac:dyDescent="0.25">
      <c r="A381" s="41" t="s">
        <v>741</v>
      </c>
      <c r="B381" s="28">
        <v>5000006657</v>
      </c>
      <c r="C381" s="42" t="s">
        <v>742</v>
      </c>
      <c r="D381" s="35" t="s">
        <v>120</v>
      </c>
      <c r="E381" s="31"/>
      <c r="F381" s="32">
        <v>360.56</v>
      </c>
      <c r="G381" s="33">
        <f t="shared" si="22"/>
        <v>0</v>
      </c>
      <c r="H381" s="33">
        <f>ROUND('[1]RESUMO DA PROPOSTA'!$C$18*F381,2)</f>
        <v>685.06</v>
      </c>
      <c r="I381" s="33">
        <f t="shared" si="23"/>
        <v>0</v>
      </c>
      <c r="J381" s="34"/>
    </row>
    <row r="382" spans="1:10" x14ac:dyDescent="0.25">
      <c r="A382" s="41" t="s">
        <v>743</v>
      </c>
      <c r="B382" s="28">
        <v>5000006658</v>
      </c>
      <c r="C382" s="42" t="s">
        <v>744</v>
      </c>
      <c r="D382" s="35" t="s">
        <v>120</v>
      </c>
      <c r="E382" s="31"/>
      <c r="F382" s="32">
        <v>412.1</v>
      </c>
      <c r="G382" s="33">
        <f t="shared" si="22"/>
        <v>0</v>
      </c>
      <c r="H382" s="33">
        <f>ROUND('[1]RESUMO DA PROPOSTA'!$C$18*F382,2)</f>
        <v>782.99</v>
      </c>
      <c r="I382" s="33">
        <f t="shared" si="23"/>
        <v>0</v>
      </c>
      <c r="J382" s="34"/>
    </row>
    <row r="383" spans="1:10" x14ac:dyDescent="0.25">
      <c r="A383" s="41" t="s">
        <v>745</v>
      </c>
      <c r="B383" s="28">
        <v>5000006659</v>
      </c>
      <c r="C383" s="42" t="s">
        <v>746</v>
      </c>
      <c r="D383" s="35" t="s">
        <v>120</v>
      </c>
      <c r="E383" s="31"/>
      <c r="F383" s="32">
        <v>487.37</v>
      </c>
      <c r="G383" s="33">
        <f t="shared" si="22"/>
        <v>0</v>
      </c>
      <c r="H383" s="33">
        <f>ROUND('[1]RESUMO DA PROPOSTA'!$C$18*F383,2)</f>
        <v>926</v>
      </c>
      <c r="I383" s="33">
        <f t="shared" si="23"/>
        <v>0</v>
      </c>
      <c r="J383" s="34"/>
    </row>
    <row r="384" spans="1:10" x14ac:dyDescent="0.25">
      <c r="A384" s="41" t="s">
        <v>747</v>
      </c>
      <c r="B384" s="28">
        <v>5000011236</v>
      </c>
      <c r="C384" s="42" t="s">
        <v>748</v>
      </c>
      <c r="D384" s="35" t="s">
        <v>120</v>
      </c>
      <c r="E384" s="31"/>
      <c r="F384" s="32">
        <v>231.96</v>
      </c>
      <c r="G384" s="33">
        <f t="shared" si="22"/>
        <v>0</v>
      </c>
      <c r="H384" s="33">
        <f>ROUND('[1]RESUMO DA PROPOSTA'!$C$18*F384,2)</f>
        <v>440.72</v>
      </c>
      <c r="I384" s="33">
        <f t="shared" si="23"/>
        <v>0</v>
      </c>
      <c r="J384" s="34"/>
    </row>
    <row r="385" spans="1:10" ht="25.5" x14ac:dyDescent="0.25">
      <c r="A385" s="41" t="s">
        <v>749</v>
      </c>
      <c r="B385" s="28">
        <v>3000016255</v>
      </c>
      <c r="C385" s="42" t="s">
        <v>750</v>
      </c>
      <c r="D385" s="35" t="s">
        <v>120</v>
      </c>
      <c r="E385" s="31"/>
      <c r="F385" s="32">
        <v>450.15</v>
      </c>
      <c r="G385" s="33">
        <f t="shared" si="22"/>
        <v>0</v>
      </c>
      <c r="H385" s="33">
        <f>ROUND('[1]RESUMO DA PROPOSTA'!$C$18*F385,2)</f>
        <v>855.29</v>
      </c>
      <c r="I385" s="33">
        <f t="shared" si="23"/>
        <v>0</v>
      </c>
      <c r="J385" s="34"/>
    </row>
    <row r="386" spans="1:10" ht="25.5" x14ac:dyDescent="0.25">
      <c r="A386" s="41" t="s">
        <v>751</v>
      </c>
      <c r="B386" s="28">
        <v>5000007407</v>
      </c>
      <c r="C386" s="42" t="s">
        <v>752</v>
      </c>
      <c r="D386" s="35" t="s">
        <v>120</v>
      </c>
      <c r="E386" s="31"/>
      <c r="F386" s="32">
        <v>450.15</v>
      </c>
      <c r="G386" s="33">
        <f t="shared" si="22"/>
        <v>0</v>
      </c>
      <c r="H386" s="33">
        <f>ROUND('[1]RESUMO DA PROPOSTA'!$C$18*F386,2)</f>
        <v>855.29</v>
      </c>
      <c r="I386" s="33">
        <f t="shared" si="23"/>
        <v>0</v>
      </c>
      <c r="J386" s="34"/>
    </row>
    <row r="387" spans="1:10" ht="25.5" x14ac:dyDescent="0.25">
      <c r="A387" s="41" t="s">
        <v>753</v>
      </c>
      <c r="B387" s="28">
        <v>5000007408</v>
      </c>
      <c r="C387" s="42" t="s">
        <v>754</v>
      </c>
      <c r="D387" s="35" t="s">
        <v>120</v>
      </c>
      <c r="E387" s="31"/>
      <c r="F387" s="32">
        <v>450.15</v>
      </c>
      <c r="G387" s="33">
        <f t="shared" si="22"/>
        <v>0</v>
      </c>
      <c r="H387" s="33">
        <f>ROUND('[1]RESUMO DA PROPOSTA'!$C$18*F387,2)</f>
        <v>855.29</v>
      </c>
      <c r="I387" s="33">
        <f t="shared" si="23"/>
        <v>0</v>
      </c>
      <c r="J387" s="34"/>
    </row>
    <row r="388" spans="1:10" x14ac:dyDescent="0.25">
      <c r="A388" s="41" t="s">
        <v>755</v>
      </c>
      <c r="B388" s="28">
        <v>5000011237</v>
      </c>
      <c r="C388" s="42" t="s">
        <v>756</v>
      </c>
      <c r="D388" s="35" t="s">
        <v>29</v>
      </c>
      <c r="E388" s="31"/>
      <c r="F388" s="32">
        <v>1345.37</v>
      </c>
      <c r="G388" s="33">
        <f t="shared" si="22"/>
        <v>0</v>
      </c>
      <c r="H388" s="33">
        <f>ROUND('[1]RESUMO DA PROPOSTA'!$C$18*F388,2)</f>
        <v>2556.1999999999998</v>
      </c>
      <c r="I388" s="33">
        <f t="shared" si="23"/>
        <v>0</v>
      </c>
      <c r="J388" s="34"/>
    </row>
    <row r="389" spans="1:10" x14ac:dyDescent="0.25">
      <c r="A389" s="41" t="s">
        <v>757</v>
      </c>
      <c r="B389" s="28">
        <v>5000011238</v>
      </c>
      <c r="C389" s="42" t="s">
        <v>758</v>
      </c>
      <c r="D389" s="35" t="s">
        <v>29</v>
      </c>
      <c r="E389" s="31"/>
      <c r="F389" s="32">
        <v>1638</v>
      </c>
      <c r="G389" s="33">
        <f t="shared" si="22"/>
        <v>0</v>
      </c>
      <c r="H389" s="33">
        <f>ROUND('[1]RESUMO DA PROPOSTA'!$C$18*F389,2)</f>
        <v>3112.2</v>
      </c>
      <c r="I389" s="33">
        <f t="shared" si="23"/>
        <v>0</v>
      </c>
      <c r="J389" s="34"/>
    </row>
    <row r="390" spans="1:10" x14ac:dyDescent="0.25">
      <c r="A390" s="41" t="s">
        <v>759</v>
      </c>
      <c r="B390" s="28">
        <v>5000005300</v>
      </c>
      <c r="C390" s="42" t="s">
        <v>670</v>
      </c>
      <c r="D390" s="35" t="s">
        <v>29</v>
      </c>
      <c r="E390" s="31"/>
      <c r="F390" s="32">
        <v>1630.08</v>
      </c>
      <c r="G390" s="33">
        <f t="shared" si="22"/>
        <v>0</v>
      </c>
      <c r="H390" s="33">
        <f>ROUND('[1]RESUMO DA PROPOSTA'!$C$18*F390,2)</f>
        <v>3097.15</v>
      </c>
      <c r="I390" s="33">
        <f t="shared" si="23"/>
        <v>0</v>
      </c>
      <c r="J390" s="34"/>
    </row>
    <row r="391" spans="1:10" x14ac:dyDescent="0.25">
      <c r="A391" s="41" t="s">
        <v>760</v>
      </c>
      <c r="B391" s="28">
        <v>5000007485</v>
      </c>
      <c r="C391" s="42" t="s">
        <v>672</v>
      </c>
      <c r="D391" s="35" t="s">
        <v>29</v>
      </c>
      <c r="E391" s="31"/>
      <c r="F391" s="32">
        <v>2678.2</v>
      </c>
      <c r="G391" s="33">
        <f t="shared" si="22"/>
        <v>0</v>
      </c>
      <c r="H391" s="33">
        <f>ROUND('[1]RESUMO DA PROPOSTA'!$C$18*F391,2)</f>
        <v>5088.58</v>
      </c>
      <c r="I391" s="33">
        <f t="shared" si="23"/>
        <v>0</v>
      </c>
      <c r="J391" s="34"/>
    </row>
    <row r="392" spans="1:10" x14ac:dyDescent="0.25">
      <c r="A392" s="41" t="s">
        <v>761</v>
      </c>
      <c r="B392" s="28">
        <v>5000011239</v>
      </c>
      <c r="C392" s="42" t="s">
        <v>762</v>
      </c>
      <c r="D392" s="35" t="s">
        <v>120</v>
      </c>
      <c r="E392" s="31"/>
      <c r="F392" s="32">
        <v>364.81</v>
      </c>
      <c r="G392" s="33">
        <f t="shared" si="22"/>
        <v>0</v>
      </c>
      <c r="H392" s="33">
        <f>ROUND('[1]RESUMO DA PROPOSTA'!$C$18*F392,2)</f>
        <v>693.14</v>
      </c>
      <c r="I392" s="33">
        <f t="shared" si="23"/>
        <v>0</v>
      </c>
      <c r="J392" s="34"/>
    </row>
    <row r="393" spans="1:10" x14ac:dyDescent="0.25">
      <c r="A393" s="41" t="s">
        <v>763</v>
      </c>
      <c r="B393" s="28">
        <v>5000011240</v>
      </c>
      <c r="C393" s="42" t="s">
        <v>764</v>
      </c>
      <c r="D393" s="35" t="s">
        <v>120</v>
      </c>
      <c r="E393" s="31"/>
      <c r="F393" s="32">
        <v>298.41000000000003</v>
      </c>
      <c r="G393" s="33">
        <f t="shared" si="22"/>
        <v>0</v>
      </c>
      <c r="H393" s="33">
        <f>ROUND('[1]RESUMO DA PROPOSTA'!$C$18*F393,2)</f>
        <v>566.98</v>
      </c>
      <c r="I393" s="33">
        <f t="shared" si="23"/>
        <v>0</v>
      </c>
      <c r="J393" s="34"/>
    </row>
    <row r="394" spans="1:10" x14ac:dyDescent="0.25">
      <c r="A394" s="41" t="s">
        <v>765</v>
      </c>
      <c r="B394" s="28">
        <v>3000016273</v>
      </c>
      <c r="C394" s="42" t="s">
        <v>766</v>
      </c>
      <c r="D394" s="35" t="s">
        <v>120</v>
      </c>
      <c r="E394" s="31"/>
      <c r="F394" s="32">
        <v>216.62</v>
      </c>
      <c r="G394" s="33">
        <f t="shared" si="22"/>
        <v>0</v>
      </c>
      <c r="H394" s="33">
        <f>ROUND('[1]RESUMO DA PROPOSTA'!$C$18*F394,2)</f>
        <v>411.58</v>
      </c>
      <c r="I394" s="33">
        <f t="shared" si="23"/>
        <v>0</v>
      </c>
      <c r="J394" s="34"/>
    </row>
    <row r="395" spans="1:10" x14ac:dyDescent="0.25">
      <c r="A395" s="41" t="s">
        <v>767</v>
      </c>
      <c r="B395" s="28">
        <v>5000007409</v>
      </c>
      <c r="C395" s="42" t="s">
        <v>768</v>
      </c>
      <c r="D395" s="35" t="s">
        <v>120</v>
      </c>
      <c r="E395" s="31"/>
      <c r="F395" s="32">
        <v>232.11</v>
      </c>
      <c r="G395" s="33">
        <f t="shared" si="22"/>
        <v>0</v>
      </c>
      <c r="H395" s="33">
        <f>ROUND('[1]RESUMO DA PROPOSTA'!$C$18*F395,2)</f>
        <v>441.01</v>
      </c>
      <c r="I395" s="33">
        <f t="shared" si="23"/>
        <v>0</v>
      </c>
      <c r="J395" s="34"/>
    </row>
    <row r="396" spans="1:10" ht="25.5" x14ac:dyDescent="0.25">
      <c r="A396" s="41" t="s">
        <v>769</v>
      </c>
      <c r="B396" s="28">
        <v>5000006660</v>
      </c>
      <c r="C396" s="42" t="s">
        <v>770</v>
      </c>
      <c r="D396" s="35" t="s">
        <v>120</v>
      </c>
      <c r="E396" s="31"/>
      <c r="F396" s="32">
        <v>156.88999999999999</v>
      </c>
      <c r="G396" s="33">
        <f t="shared" si="22"/>
        <v>0</v>
      </c>
      <c r="H396" s="33">
        <f>ROUND('[1]RESUMO DA PROPOSTA'!$C$18*F396,2)</f>
        <v>298.08999999999997</v>
      </c>
      <c r="I396" s="33">
        <f t="shared" si="23"/>
        <v>0</v>
      </c>
      <c r="J396" s="34"/>
    </row>
    <row r="397" spans="1:10" ht="25.5" x14ac:dyDescent="0.25">
      <c r="A397" s="41" t="s">
        <v>771</v>
      </c>
      <c r="B397" s="28">
        <v>5000007411</v>
      </c>
      <c r="C397" s="42" t="s">
        <v>772</v>
      </c>
      <c r="D397" s="35" t="s">
        <v>120</v>
      </c>
      <c r="E397" s="31"/>
      <c r="F397" s="32">
        <v>283.02999999999997</v>
      </c>
      <c r="G397" s="33">
        <f t="shared" si="22"/>
        <v>0</v>
      </c>
      <c r="H397" s="33">
        <f>ROUND('[1]RESUMO DA PROPOSTA'!$C$18*F397,2)</f>
        <v>537.76</v>
      </c>
      <c r="I397" s="33">
        <f t="shared" si="23"/>
        <v>0</v>
      </c>
      <c r="J397" s="34"/>
    </row>
    <row r="398" spans="1:10" ht="25.5" x14ac:dyDescent="0.25">
      <c r="A398" s="41" t="s">
        <v>773</v>
      </c>
      <c r="B398" s="28"/>
      <c r="C398" s="42" t="s">
        <v>774</v>
      </c>
      <c r="D398" s="35" t="s">
        <v>120</v>
      </c>
      <c r="E398" s="31"/>
      <c r="F398" s="32">
        <v>379.97</v>
      </c>
      <c r="G398" s="33">
        <f t="shared" si="22"/>
        <v>0</v>
      </c>
      <c r="H398" s="33">
        <f>ROUND('[1]RESUMO DA PROPOSTA'!$C$18*F398,2)</f>
        <v>721.94</v>
      </c>
      <c r="I398" s="33">
        <f t="shared" si="23"/>
        <v>0</v>
      </c>
      <c r="J398" s="34"/>
    </row>
    <row r="399" spans="1:10" x14ac:dyDescent="0.25">
      <c r="A399" s="41" t="s">
        <v>775</v>
      </c>
      <c r="B399" s="28">
        <v>5000011241</v>
      </c>
      <c r="C399" s="42" t="s">
        <v>776</v>
      </c>
      <c r="D399" s="35" t="s">
        <v>29</v>
      </c>
      <c r="E399" s="31"/>
      <c r="F399" s="32">
        <v>238.47</v>
      </c>
      <c r="G399" s="33">
        <f t="shared" si="22"/>
        <v>0</v>
      </c>
      <c r="H399" s="33">
        <f>ROUND('[1]RESUMO DA PROPOSTA'!$C$18*F399,2)</f>
        <v>453.09</v>
      </c>
      <c r="I399" s="33">
        <f t="shared" si="23"/>
        <v>0</v>
      </c>
      <c r="J399" s="34"/>
    </row>
    <row r="400" spans="1:10" x14ac:dyDescent="0.25">
      <c r="A400" s="41" t="s">
        <v>777</v>
      </c>
      <c r="B400" s="28">
        <v>3000018535</v>
      </c>
      <c r="C400" s="42" t="s">
        <v>778</v>
      </c>
      <c r="D400" s="35" t="s">
        <v>29</v>
      </c>
      <c r="E400" s="31"/>
      <c r="F400" s="32">
        <v>1073.42</v>
      </c>
      <c r="G400" s="33">
        <f t="shared" si="22"/>
        <v>0</v>
      </c>
      <c r="H400" s="33">
        <f>ROUND('[1]RESUMO DA PROPOSTA'!$C$18*F400,2)</f>
        <v>2039.5</v>
      </c>
      <c r="I400" s="33">
        <f t="shared" si="23"/>
        <v>0</v>
      </c>
      <c r="J400" s="34"/>
    </row>
    <row r="401" spans="1:10" ht="25.5" x14ac:dyDescent="0.25">
      <c r="A401" s="41" t="s">
        <v>779</v>
      </c>
      <c r="B401" s="28">
        <v>5000007580</v>
      </c>
      <c r="C401" s="42" t="s">
        <v>780</v>
      </c>
      <c r="D401" s="35" t="s">
        <v>178</v>
      </c>
      <c r="E401" s="31"/>
      <c r="F401" s="32">
        <v>2152.6999999999998</v>
      </c>
      <c r="G401" s="33">
        <f t="shared" si="22"/>
        <v>0</v>
      </c>
      <c r="H401" s="33">
        <f>ROUND('[1]RESUMO DA PROPOSTA'!$C$18*F401,2)</f>
        <v>4090.13</v>
      </c>
      <c r="I401" s="33">
        <f t="shared" si="23"/>
        <v>0</v>
      </c>
      <c r="J401" s="34"/>
    </row>
    <row r="402" spans="1:10" ht="25.5" x14ac:dyDescent="0.25">
      <c r="A402" s="41" t="s">
        <v>781</v>
      </c>
      <c r="B402" s="28">
        <v>5000007580</v>
      </c>
      <c r="C402" s="42" t="s">
        <v>782</v>
      </c>
      <c r="D402" s="35" t="s">
        <v>178</v>
      </c>
      <c r="E402" s="31"/>
      <c r="F402" s="32">
        <v>2152.6999999999998</v>
      </c>
      <c r="G402" s="33">
        <f t="shared" si="22"/>
        <v>0</v>
      </c>
      <c r="H402" s="33">
        <f>ROUND('[1]RESUMO DA PROPOSTA'!$C$18*F402,2)</f>
        <v>4090.13</v>
      </c>
      <c r="I402" s="33">
        <f t="shared" si="23"/>
        <v>0</v>
      </c>
      <c r="J402" s="34"/>
    </row>
    <row r="403" spans="1:10" x14ac:dyDescent="0.25">
      <c r="A403" s="41" t="s">
        <v>783</v>
      </c>
      <c r="B403" s="28">
        <v>5000011447</v>
      </c>
      <c r="C403" s="42" t="s">
        <v>784</v>
      </c>
      <c r="D403" s="35" t="s">
        <v>29</v>
      </c>
      <c r="E403" s="31"/>
      <c r="F403" s="32">
        <v>1468.12</v>
      </c>
      <c r="G403" s="33">
        <f t="shared" si="22"/>
        <v>0</v>
      </c>
      <c r="H403" s="33">
        <f>ROUND('[1]RESUMO DA PROPOSTA'!$C$18*F403,2)</f>
        <v>2789.43</v>
      </c>
      <c r="I403" s="33">
        <f t="shared" si="23"/>
        <v>0</v>
      </c>
      <c r="J403" s="34"/>
    </row>
    <row r="404" spans="1:10" ht="25.5" x14ac:dyDescent="0.25">
      <c r="A404" s="41" t="s">
        <v>785</v>
      </c>
      <c r="B404" s="28">
        <v>5000006662</v>
      </c>
      <c r="C404" s="42" t="s">
        <v>786</v>
      </c>
      <c r="D404" s="35" t="s">
        <v>120</v>
      </c>
      <c r="E404" s="31"/>
      <c r="F404" s="32">
        <v>16.489999999999998</v>
      </c>
      <c r="G404" s="33">
        <f t="shared" si="22"/>
        <v>0</v>
      </c>
      <c r="H404" s="33">
        <f>ROUND('[1]RESUMO DA PROPOSTA'!$C$18*F404,2)</f>
        <v>31.33</v>
      </c>
      <c r="I404" s="33">
        <f t="shared" si="23"/>
        <v>0</v>
      </c>
      <c r="J404" s="34"/>
    </row>
    <row r="405" spans="1:10" x14ac:dyDescent="0.25">
      <c r="A405" s="41" t="s">
        <v>787</v>
      </c>
      <c r="B405" s="28">
        <v>5000007486</v>
      </c>
      <c r="C405" s="42" t="s">
        <v>788</v>
      </c>
      <c r="D405" s="35" t="s">
        <v>120</v>
      </c>
      <c r="E405" s="31"/>
      <c r="F405" s="32">
        <v>884.32</v>
      </c>
      <c r="G405" s="33">
        <f t="shared" si="22"/>
        <v>0</v>
      </c>
      <c r="H405" s="33">
        <f>ROUND('[1]RESUMO DA PROPOSTA'!$C$18*F405,2)</f>
        <v>1680.21</v>
      </c>
      <c r="I405" s="33">
        <f t="shared" si="23"/>
        <v>0</v>
      </c>
      <c r="J405" s="34"/>
    </row>
    <row r="406" spans="1:10" x14ac:dyDescent="0.25">
      <c r="A406" s="41" t="s">
        <v>789</v>
      </c>
      <c r="B406" s="28">
        <v>5000011242</v>
      </c>
      <c r="C406" s="42" t="s">
        <v>790</v>
      </c>
      <c r="D406" s="35" t="s">
        <v>120</v>
      </c>
      <c r="E406" s="31"/>
      <c r="F406" s="32">
        <v>57.7</v>
      </c>
      <c r="G406" s="33">
        <f t="shared" si="22"/>
        <v>0</v>
      </c>
      <c r="H406" s="33">
        <f>ROUND('[1]RESUMO DA PROPOSTA'!$C$18*F406,2)</f>
        <v>109.63</v>
      </c>
      <c r="I406" s="33">
        <f t="shared" si="23"/>
        <v>0</v>
      </c>
      <c r="J406" s="34"/>
    </row>
    <row r="407" spans="1:10" x14ac:dyDescent="0.25">
      <c r="A407" s="41" t="s">
        <v>791</v>
      </c>
      <c r="B407" s="28">
        <v>5000011243</v>
      </c>
      <c r="C407" s="42" t="s">
        <v>792</v>
      </c>
      <c r="D407" s="35" t="s">
        <v>120</v>
      </c>
      <c r="E407" s="31"/>
      <c r="F407" s="32">
        <v>96.36</v>
      </c>
      <c r="G407" s="33">
        <f t="shared" si="22"/>
        <v>0</v>
      </c>
      <c r="H407" s="33">
        <f>ROUND('[1]RESUMO DA PROPOSTA'!$C$18*F407,2)</f>
        <v>183.08</v>
      </c>
      <c r="I407" s="33">
        <f t="shared" si="23"/>
        <v>0</v>
      </c>
      <c r="J407" s="34"/>
    </row>
    <row r="408" spans="1:10" x14ac:dyDescent="0.25">
      <c r="A408" s="41" t="s">
        <v>793</v>
      </c>
      <c r="B408" s="28">
        <v>5000011244</v>
      </c>
      <c r="C408" s="42" t="s">
        <v>794</v>
      </c>
      <c r="D408" s="35" t="s">
        <v>120</v>
      </c>
      <c r="E408" s="31"/>
      <c r="F408" s="32">
        <v>127.07</v>
      </c>
      <c r="G408" s="33">
        <f t="shared" si="22"/>
        <v>0</v>
      </c>
      <c r="H408" s="33">
        <f>ROUND('[1]RESUMO DA PROPOSTA'!$C$18*F408,2)</f>
        <v>241.43</v>
      </c>
      <c r="I408" s="33">
        <f t="shared" si="23"/>
        <v>0</v>
      </c>
      <c r="J408" s="34"/>
    </row>
    <row r="409" spans="1:10" x14ac:dyDescent="0.25">
      <c r="A409" s="41" t="s">
        <v>795</v>
      </c>
      <c r="B409" s="28">
        <v>5000007480</v>
      </c>
      <c r="C409" s="42" t="s">
        <v>796</v>
      </c>
      <c r="D409" s="35" t="s">
        <v>120</v>
      </c>
      <c r="E409" s="31"/>
      <c r="F409" s="32">
        <v>56.61</v>
      </c>
      <c r="G409" s="33">
        <f t="shared" si="22"/>
        <v>0</v>
      </c>
      <c r="H409" s="33">
        <f>ROUND('[1]RESUMO DA PROPOSTA'!$C$18*F409,2)</f>
        <v>107.56</v>
      </c>
      <c r="I409" s="33">
        <f t="shared" si="23"/>
        <v>0</v>
      </c>
      <c r="J409" s="34"/>
    </row>
    <row r="410" spans="1:10" x14ac:dyDescent="0.25">
      <c r="A410" s="41" t="s">
        <v>797</v>
      </c>
      <c r="B410" s="28">
        <v>5000007481</v>
      </c>
      <c r="C410" s="42" t="s">
        <v>798</v>
      </c>
      <c r="D410" s="35" t="s">
        <v>29</v>
      </c>
      <c r="E410" s="31"/>
      <c r="F410" s="32">
        <v>395.51</v>
      </c>
      <c r="G410" s="33">
        <f t="shared" si="22"/>
        <v>0</v>
      </c>
      <c r="H410" s="33">
        <f>ROUND('[1]RESUMO DA PROPOSTA'!$C$18*F410,2)</f>
        <v>751.47</v>
      </c>
      <c r="I410" s="33">
        <f t="shared" si="23"/>
        <v>0</v>
      </c>
      <c r="J410" s="34"/>
    </row>
    <row r="411" spans="1:10" x14ac:dyDescent="0.25">
      <c r="A411" s="41" t="s">
        <v>799</v>
      </c>
      <c r="B411" s="28">
        <v>5000011245</v>
      </c>
      <c r="C411" s="42" t="s">
        <v>800</v>
      </c>
      <c r="D411" s="35" t="s">
        <v>29</v>
      </c>
      <c r="E411" s="31"/>
      <c r="F411" s="32">
        <v>28.93</v>
      </c>
      <c r="G411" s="33">
        <f t="shared" si="22"/>
        <v>0</v>
      </c>
      <c r="H411" s="33">
        <f>ROUND('[1]RESUMO DA PROPOSTA'!$C$18*F411,2)</f>
        <v>54.97</v>
      </c>
      <c r="I411" s="33">
        <f t="shared" si="23"/>
        <v>0</v>
      </c>
      <c r="J411" s="34"/>
    </row>
    <row r="412" spans="1:10" x14ac:dyDescent="0.25">
      <c r="A412" s="41" t="s">
        <v>801</v>
      </c>
      <c r="B412" s="28">
        <v>5000011246</v>
      </c>
      <c r="C412" s="42" t="s">
        <v>802</v>
      </c>
      <c r="D412" s="35" t="s">
        <v>29</v>
      </c>
      <c r="E412" s="31"/>
      <c r="F412" s="32">
        <v>555.38</v>
      </c>
      <c r="G412" s="33">
        <f t="shared" si="22"/>
        <v>0</v>
      </c>
      <c r="H412" s="33">
        <f>ROUND('[1]RESUMO DA PROPOSTA'!$C$18*F412,2)</f>
        <v>1055.22</v>
      </c>
      <c r="I412" s="33">
        <f t="shared" si="23"/>
        <v>0</v>
      </c>
      <c r="J412" s="34"/>
    </row>
    <row r="413" spans="1:10" x14ac:dyDescent="0.25">
      <c r="A413" s="41" t="s">
        <v>803</v>
      </c>
      <c r="B413" s="28">
        <v>5000011247</v>
      </c>
      <c r="C413" s="42" t="s">
        <v>804</v>
      </c>
      <c r="D413" s="35" t="s">
        <v>120</v>
      </c>
      <c r="E413" s="31"/>
      <c r="F413" s="32">
        <v>239.17</v>
      </c>
      <c r="G413" s="33">
        <f t="shared" si="22"/>
        <v>0</v>
      </c>
      <c r="H413" s="33">
        <f>ROUND('[1]RESUMO DA PROPOSTA'!$C$18*F413,2)</f>
        <v>454.42</v>
      </c>
      <c r="I413" s="33">
        <f t="shared" si="23"/>
        <v>0</v>
      </c>
      <c r="J413" s="34"/>
    </row>
    <row r="414" spans="1:10" x14ac:dyDescent="0.25">
      <c r="A414" s="41" t="s">
        <v>805</v>
      </c>
      <c r="B414" s="28">
        <v>5000007662</v>
      </c>
      <c r="C414" s="42" t="s">
        <v>806</v>
      </c>
      <c r="D414" s="35" t="s">
        <v>29</v>
      </c>
      <c r="E414" s="31"/>
      <c r="F414" s="32">
        <v>11913.18</v>
      </c>
      <c r="G414" s="33">
        <f t="shared" si="22"/>
        <v>0</v>
      </c>
      <c r="H414" s="33">
        <f>ROUND('[1]RESUMO DA PROPOSTA'!$C$18*F414,2)</f>
        <v>22635.040000000001</v>
      </c>
      <c r="I414" s="33">
        <f t="shared" si="23"/>
        <v>0</v>
      </c>
      <c r="J414" s="34"/>
    </row>
    <row r="415" spans="1:10" ht="25.5" x14ac:dyDescent="0.25">
      <c r="A415" s="41" t="s">
        <v>807</v>
      </c>
      <c r="B415" s="28">
        <v>5000006663</v>
      </c>
      <c r="C415" s="42" t="s">
        <v>808</v>
      </c>
      <c r="D415" s="35" t="s">
        <v>29</v>
      </c>
      <c r="E415" s="31"/>
      <c r="F415" s="32">
        <v>163.80000000000001</v>
      </c>
      <c r="G415" s="33">
        <f t="shared" si="22"/>
        <v>0</v>
      </c>
      <c r="H415" s="33">
        <f>ROUND('[1]RESUMO DA PROPOSTA'!$C$18*F415,2)</f>
        <v>311.22000000000003</v>
      </c>
      <c r="I415" s="33">
        <f t="shared" si="23"/>
        <v>0</v>
      </c>
      <c r="J415" s="34"/>
    </row>
    <row r="416" spans="1:10" x14ac:dyDescent="0.25">
      <c r="A416" s="41" t="s">
        <v>809</v>
      </c>
      <c r="B416" s="28">
        <v>5000007580</v>
      </c>
      <c r="C416" s="42" t="s">
        <v>810</v>
      </c>
      <c r="D416" s="35" t="s">
        <v>178</v>
      </c>
      <c r="E416" s="31"/>
      <c r="F416" s="32">
        <v>2152.6999999999998</v>
      </c>
      <c r="G416" s="33">
        <f t="shared" si="22"/>
        <v>0</v>
      </c>
      <c r="H416" s="33">
        <f>ROUND('[1]RESUMO DA PROPOSTA'!$C$18*F416,2)</f>
        <v>4090.13</v>
      </c>
      <c r="I416" s="33">
        <f t="shared" si="23"/>
        <v>0</v>
      </c>
      <c r="J416" s="34"/>
    </row>
    <row r="417" spans="1:10" x14ac:dyDescent="0.25">
      <c r="A417" s="41" t="s">
        <v>811</v>
      </c>
      <c r="B417" s="28">
        <v>3000019001</v>
      </c>
      <c r="C417" s="42" t="s">
        <v>812</v>
      </c>
      <c r="D417" s="35" t="s">
        <v>178</v>
      </c>
      <c r="E417" s="31"/>
      <c r="F417" s="32">
        <v>3928.45</v>
      </c>
      <c r="G417" s="33">
        <f t="shared" si="22"/>
        <v>0</v>
      </c>
      <c r="H417" s="33">
        <f>ROUND('[1]RESUMO DA PROPOSTA'!$C$18*F417,2)</f>
        <v>7464.06</v>
      </c>
      <c r="I417" s="33">
        <f t="shared" si="23"/>
        <v>0</v>
      </c>
      <c r="J417" s="34"/>
    </row>
    <row r="418" spans="1:10" ht="15.75" x14ac:dyDescent="0.25">
      <c r="A418" s="43" t="s">
        <v>813</v>
      </c>
      <c r="B418" s="44"/>
      <c r="C418" s="45" t="s">
        <v>814</v>
      </c>
      <c r="D418" s="46"/>
      <c r="E418" s="47"/>
      <c r="F418" s="48" t="s">
        <v>17</v>
      </c>
      <c r="G418" s="49">
        <f>SUBTOTAL(9,G419:G462)</f>
        <v>35289.5</v>
      </c>
      <c r="H418" s="48" t="s">
        <v>17</v>
      </c>
      <c r="I418" s="49">
        <f>SUBTOTAL(9,I419:I462)</f>
        <v>67050.080000000002</v>
      </c>
      <c r="J418" s="50"/>
    </row>
    <row r="419" spans="1:10" ht="51" x14ac:dyDescent="0.25">
      <c r="A419" s="41" t="s">
        <v>815</v>
      </c>
      <c r="B419" s="28">
        <v>5000006668</v>
      </c>
      <c r="C419" s="42" t="s">
        <v>816</v>
      </c>
      <c r="D419" s="35" t="s">
        <v>129</v>
      </c>
      <c r="E419" s="31"/>
      <c r="F419" s="32">
        <v>27.18</v>
      </c>
      <c r="G419" s="33">
        <f t="shared" ref="G419:G462" si="24">ROUND(E419*F419,2)</f>
        <v>0</v>
      </c>
      <c r="H419" s="33">
        <f>ROUND('[1]RESUMO DA PROPOSTA'!$C$18*F419,2)</f>
        <v>51.64</v>
      </c>
      <c r="I419" s="33">
        <f t="shared" ref="I419:I462" si="25">ROUND(E419*H419,2)</f>
        <v>0</v>
      </c>
      <c r="J419" s="34"/>
    </row>
    <row r="420" spans="1:10" x14ac:dyDescent="0.25">
      <c r="A420" s="41" t="s">
        <v>817</v>
      </c>
      <c r="B420" s="28">
        <v>5000007434</v>
      </c>
      <c r="C420" s="42" t="s">
        <v>818</v>
      </c>
      <c r="D420" s="35" t="s">
        <v>129</v>
      </c>
      <c r="E420" s="31"/>
      <c r="F420" s="32">
        <v>30.19</v>
      </c>
      <c r="G420" s="33">
        <f t="shared" si="24"/>
        <v>0</v>
      </c>
      <c r="H420" s="33">
        <f>ROUND('[1]RESUMO DA PROPOSTA'!$C$18*F420,2)</f>
        <v>57.36</v>
      </c>
      <c r="I420" s="33">
        <f t="shared" si="25"/>
        <v>0</v>
      </c>
      <c r="J420" s="34"/>
    </row>
    <row r="421" spans="1:10" x14ac:dyDescent="0.25">
      <c r="A421" s="41" t="s">
        <v>819</v>
      </c>
      <c r="B421" s="28">
        <v>5000007606</v>
      </c>
      <c r="C421" s="42" t="s">
        <v>820</v>
      </c>
      <c r="D421" s="35" t="s">
        <v>120</v>
      </c>
      <c r="E421" s="31"/>
      <c r="F421" s="32">
        <v>953.29</v>
      </c>
      <c r="G421" s="33">
        <f t="shared" si="24"/>
        <v>0</v>
      </c>
      <c r="H421" s="33">
        <f>ROUND('[1]RESUMO DA PROPOSTA'!$C$18*F421,2)</f>
        <v>1811.25</v>
      </c>
      <c r="I421" s="33">
        <f t="shared" si="25"/>
        <v>0</v>
      </c>
      <c r="J421" s="34"/>
    </row>
    <row r="422" spans="1:10" ht="25.5" x14ac:dyDescent="0.25">
      <c r="A422" s="41" t="s">
        <v>821</v>
      </c>
      <c r="B422" s="28">
        <v>5000007470</v>
      </c>
      <c r="C422" s="42" t="s">
        <v>822</v>
      </c>
      <c r="D422" s="35" t="s">
        <v>120</v>
      </c>
      <c r="E422" s="31"/>
      <c r="F422" s="32">
        <v>675</v>
      </c>
      <c r="G422" s="33">
        <f t="shared" si="24"/>
        <v>0</v>
      </c>
      <c r="H422" s="33">
        <f>ROUND('[1]RESUMO DA PROPOSTA'!$C$18*F422,2)</f>
        <v>1282.5</v>
      </c>
      <c r="I422" s="33">
        <f t="shared" si="25"/>
        <v>0</v>
      </c>
      <c r="J422" s="34"/>
    </row>
    <row r="423" spans="1:10" ht="25.5" x14ac:dyDescent="0.25">
      <c r="A423" s="41" t="s">
        <v>823</v>
      </c>
      <c r="B423" s="28">
        <v>5000007471</v>
      </c>
      <c r="C423" s="42" t="s">
        <v>824</v>
      </c>
      <c r="D423" s="35" t="s">
        <v>120</v>
      </c>
      <c r="E423" s="31"/>
      <c r="F423" s="32">
        <v>450</v>
      </c>
      <c r="G423" s="33">
        <f t="shared" si="24"/>
        <v>0</v>
      </c>
      <c r="H423" s="33">
        <f>ROUND('[1]RESUMO DA PROPOSTA'!$C$18*F423,2)</f>
        <v>855</v>
      </c>
      <c r="I423" s="33">
        <f t="shared" si="25"/>
        <v>0</v>
      </c>
      <c r="J423" s="34"/>
    </row>
    <row r="424" spans="1:10" ht="25.5" x14ac:dyDescent="0.25">
      <c r="A424" s="41" t="s">
        <v>825</v>
      </c>
      <c r="B424" s="28">
        <v>5000007656</v>
      </c>
      <c r="C424" s="42" t="s">
        <v>826</v>
      </c>
      <c r="D424" s="35" t="s">
        <v>120</v>
      </c>
      <c r="E424" s="31"/>
      <c r="F424" s="32">
        <v>34.950000000000003</v>
      </c>
      <c r="G424" s="33">
        <f t="shared" si="24"/>
        <v>0</v>
      </c>
      <c r="H424" s="33">
        <f>ROUND('[1]RESUMO DA PROPOSTA'!$C$18*F424,2)</f>
        <v>66.41</v>
      </c>
      <c r="I424" s="33">
        <f t="shared" si="25"/>
        <v>0</v>
      </c>
      <c r="J424" s="34"/>
    </row>
    <row r="425" spans="1:10" ht="25.5" x14ac:dyDescent="0.25">
      <c r="A425" s="41" t="s">
        <v>827</v>
      </c>
      <c r="B425" s="28">
        <v>5000007690</v>
      </c>
      <c r="C425" s="42" t="s">
        <v>828</v>
      </c>
      <c r="D425" s="35" t="s">
        <v>129</v>
      </c>
      <c r="E425" s="31"/>
      <c r="F425" s="32">
        <v>5032.6499999999996</v>
      </c>
      <c r="G425" s="33">
        <f t="shared" si="24"/>
        <v>0</v>
      </c>
      <c r="H425" s="33">
        <f>ROUND('[1]RESUMO DA PROPOSTA'!$C$18*F425,2)</f>
        <v>9562.0400000000009</v>
      </c>
      <c r="I425" s="33">
        <f t="shared" si="25"/>
        <v>0</v>
      </c>
      <c r="J425" s="34"/>
    </row>
    <row r="426" spans="1:10" ht="25.5" x14ac:dyDescent="0.25">
      <c r="A426" s="41" t="s">
        <v>829</v>
      </c>
      <c r="B426" s="28">
        <v>3000019015</v>
      </c>
      <c r="C426" s="42" t="s">
        <v>830</v>
      </c>
      <c r="D426" s="35" t="s">
        <v>29</v>
      </c>
      <c r="E426" s="31"/>
      <c r="F426" s="32">
        <v>11021.2</v>
      </c>
      <c r="G426" s="33">
        <f t="shared" si="24"/>
        <v>0</v>
      </c>
      <c r="H426" s="33">
        <f>ROUND('[1]RESUMO DA PROPOSTA'!$C$18*F426,2)</f>
        <v>20940.28</v>
      </c>
      <c r="I426" s="33">
        <f t="shared" si="25"/>
        <v>0</v>
      </c>
      <c r="J426" s="34"/>
    </row>
    <row r="427" spans="1:10" ht="25.5" x14ac:dyDescent="0.25">
      <c r="A427" s="41" t="s">
        <v>831</v>
      </c>
      <c r="B427" s="28">
        <v>3000018551</v>
      </c>
      <c r="C427" s="42" t="s">
        <v>832</v>
      </c>
      <c r="D427" s="35" t="s">
        <v>120</v>
      </c>
      <c r="E427" s="31"/>
      <c r="F427" s="32">
        <v>222.01</v>
      </c>
      <c r="G427" s="33">
        <f t="shared" si="24"/>
        <v>0</v>
      </c>
      <c r="H427" s="33">
        <f>ROUND('[1]RESUMO DA PROPOSTA'!$C$18*F427,2)</f>
        <v>421.82</v>
      </c>
      <c r="I427" s="33">
        <f t="shared" si="25"/>
        <v>0</v>
      </c>
      <c r="J427" s="34"/>
    </row>
    <row r="428" spans="1:10" x14ac:dyDescent="0.25">
      <c r="A428" s="41" t="s">
        <v>833</v>
      </c>
      <c r="B428" s="28">
        <v>5000011248</v>
      </c>
      <c r="C428" s="42" t="s">
        <v>834</v>
      </c>
      <c r="D428" s="35" t="s">
        <v>120</v>
      </c>
      <c r="E428" s="31"/>
      <c r="F428" s="32">
        <v>41.36</v>
      </c>
      <c r="G428" s="33">
        <f t="shared" si="24"/>
        <v>0</v>
      </c>
      <c r="H428" s="33">
        <f>ROUND('[1]RESUMO DA PROPOSTA'!$C$18*F428,2)</f>
        <v>78.58</v>
      </c>
      <c r="I428" s="33">
        <f t="shared" si="25"/>
        <v>0</v>
      </c>
      <c r="J428" s="34"/>
    </row>
    <row r="429" spans="1:10" x14ac:dyDescent="0.25">
      <c r="A429" s="41" t="s">
        <v>835</v>
      </c>
      <c r="B429" s="28">
        <v>3000016324</v>
      </c>
      <c r="C429" s="42" t="s">
        <v>836</v>
      </c>
      <c r="D429" s="35" t="s">
        <v>120</v>
      </c>
      <c r="E429" s="31"/>
      <c r="F429" s="32">
        <v>57.45</v>
      </c>
      <c r="G429" s="33">
        <f t="shared" si="24"/>
        <v>0</v>
      </c>
      <c r="H429" s="33">
        <f>ROUND('[1]RESUMO DA PROPOSTA'!$C$18*F429,2)</f>
        <v>109.16</v>
      </c>
      <c r="I429" s="33">
        <f t="shared" si="25"/>
        <v>0</v>
      </c>
      <c r="J429" s="34"/>
    </row>
    <row r="430" spans="1:10" x14ac:dyDescent="0.25">
      <c r="A430" s="41" t="s">
        <v>837</v>
      </c>
      <c r="B430" s="28">
        <v>5000011249</v>
      </c>
      <c r="C430" s="42" t="s">
        <v>838</v>
      </c>
      <c r="D430" s="35" t="s">
        <v>29</v>
      </c>
      <c r="E430" s="31"/>
      <c r="F430" s="32">
        <v>1342.84</v>
      </c>
      <c r="G430" s="33">
        <f t="shared" si="24"/>
        <v>0</v>
      </c>
      <c r="H430" s="33">
        <f>ROUND('[1]RESUMO DA PROPOSTA'!$C$18*F430,2)</f>
        <v>2551.4</v>
      </c>
      <c r="I430" s="33">
        <f t="shared" si="25"/>
        <v>0</v>
      </c>
      <c r="J430" s="34"/>
    </row>
    <row r="431" spans="1:10" x14ac:dyDescent="0.25">
      <c r="A431" s="41" t="s">
        <v>839</v>
      </c>
      <c r="B431" s="28">
        <v>5000006665</v>
      </c>
      <c r="C431" s="42" t="s">
        <v>840</v>
      </c>
      <c r="D431" s="35" t="s">
        <v>120</v>
      </c>
      <c r="E431" s="31"/>
      <c r="F431" s="32">
        <v>34.97</v>
      </c>
      <c r="G431" s="33">
        <f t="shared" si="24"/>
        <v>0</v>
      </c>
      <c r="H431" s="33">
        <f>ROUND('[1]RESUMO DA PROPOSTA'!$C$18*F431,2)</f>
        <v>66.44</v>
      </c>
      <c r="I431" s="33">
        <f t="shared" si="25"/>
        <v>0</v>
      </c>
      <c r="J431" s="34"/>
    </row>
    <row r="432" spans="1:10" ht="25.5" x14ac:dyDescent="0.25">
      <c r="A432" s="41" t="s">
        <v>841</v>
      </c>
      <c r="B432" s="28">
        <v>5000007692</v>
      </c>
      <c r="C432" s="42" t="s">
        <v>842</v>
      </c>
      <c r="D432" s="35" t="s">
        <v>120</v>
      </c>
      <c r="E432" s="31"/>
      <c r="F432" s="32">
        <v>87.54</v>
      </c>
      <c r="G432" s="33">
        <f t="shared" si="24"/>
        <v>0</v>
      </c>
      <c r="H432" s="33">
        <f>ROUND('[1]RESUMO DA PROPOSTA'!$C$18*F432,2)</f>
        <v>166.33</v>
      </c>
      <c r="I432" s="33">
        <f t="shared" si="25"/>
        <v>0</v>
      </c>
      <c r="J432" s="34"/>
    </row>
    <row r="433" spans="1:10" x14ac:dyDescent="0.25">
      <c r="A433" s="41" t="s">
        <v>843</v>
      </c>
      <c r="B433" s="28">
        <v>5000011448</v>
      </c>
      <c r="C433" s="42" t="s">
        <v>844</v>
      </c>
      <c r="D433" s="35" t="s">
        <v>120</v>
      </c>
      <c r="E433" s="31"/>
      <c r="F433" s="32">
        <v>16.43</v>
      </c>
      <c r="G433" s="33">
        <f t="shared" si="24"/>
        <v>0</v>
      </c>
      <c r="H433" s="33">
        <f>ROUND('[1]RESUMO DA PROPOSTA'!$C$18*F433,2)</f>
        <v>31.22</v>
      </c>
      <c r="I433" s="33">
        <f t="shared" si="25"/>
        <v>0</v>
      </c>
      <c r="J433" s="34"/>
    </row>
    <row r="434" spans="1:10" x14ac:dyDescent="0.25">
      <c r="A434" s="41" t="s">
        <v>845</v>
      </c>
      <c r="B434" s="28">
        <v>5000011250</v>
      </c>
      <c r="C434" s="42" t="s">
        <v>846</v>
      </c>
      <c r="D434" s="35" t="s">
        <v>29</v>
      </c>
      <c r="E434" s="31"/>
      <c r="F434" s="32">
        <v>163.71</v>
      </c>
      <c r="G434" s="33">
        <f t="shared" si="24"/>
        <v>0</v>
      </c>
      <c r="H434" s="33">
        <f>ROUND('[1]RESUMO DA PROPOSTA'!$C$18*F434,2)</f>
        <v>311.05</v>
      </c>
      <c r="I434" s="33">
        <f t="shared" si="25"/>
        <v>0</v>
      </c>
      <c r="J434" s="34"/>
    </row>
    <row r="435" spans="1:10" x14ac:dyDescent="0.25">
      <c r="A435" s="41" t="s">
        <v>847</v>
      </c>
      <c r="B435" s="28">
        <v>5000011251</v>
      </c>
      <c r="C435" s="42" t="s">
        <v>848</v>
      </c>
      <c r="D435" s="35" t="s">
        <v>129</v>
      </c>
      <c r="E435" s="31"/>
      <c r="F435" s="32">
        <v>338.33</v>
      </c>
      <c r="G435" s="33">
        <f t="shared" si="24"/>
        <v>0</v>
      </c>
      <c r="H435" s="33">
        <f>ROUND('[1]RESUMO DA PROPOSTA'!$C$18*F435,2)</f>
        <v>642.83000000000004</v>
      </c>
      <c r="I435" s="33">
        <f t="shared" si="25"/>
        <v>0</v>
      </c>
      <c r="J435" s="34"/>
    </row>
    <row r="436" spans="1:10" ht="25.5" x14ac:dyDescent="0.25">
      <c r="A436" s="41" t="s">
        <v>849</v>
      </c>
      <c r="B436" s="28">
        <v>3000007927</v>
      </c>
      <c r="C436" s="42" t="s">
        <v>850</v>
      </c>
      <c r="D436" s="35" t="s">
        <v>120</v>
      </c>
      <c r="E436" s="31"/>
      <c r="F436" s="32">
        <v>54.16</v>
      </c>
      <c r="G436" s="33">
        <f t="shared" si="24"/>
        <v>0</v>
      </c>
      <c r="H436" s="33">
        <f>ROUND('[1]RESUMO DA PROPOSTA'!$C$18*F436,2)</f>
        <v>102.9</v>
      </c>
      <c r="I436" s="33">
        <f t="shared" si="25"/>
        <v>0</v>
      </c>
      <c r="J436" s="34"/>
    </row>
    <row r="437" spans="1:10" x14ac:dyDescent="0.25">
      <c r="A437" s="41" t="s">
        <v>851</v>
      </c>
      <c r="B437" s="28">
        <v>3000019024</v>
      </c>
      <c r="C437" s="42" t="s">
        <v>852</v>
      </c>
      <c r="D437" s="35" t="s">
        <v>120</v>
      </c>
      <c r="E437" s="31"/>
      <c r="F437" s="32">
        <v>11.75</v>
      </c>
      <c r="G437" s="33">
        <f t="shared" si="24"/>
        <v>0</v>
      </c>
      <c r="H437" s="33">
        <f>ROUND('[1]RESUMO DA PROPOSTA'!$C$18*F437,2)</f>
        <v>22.33</v>
      </c>
      <c r="I437" s="33">
        <f t="shared" si="25"/>
        <v>0</v>
      </c>
      <c r="J437" s="34"/>
    </row>
    <row r="438" spans="1:10" x14ac:dyDescent="0.25">
      <c r="A438" s="41" t="s">
        <v>853</v>
      </c>
      <c r="B438" s="28">
        <v>5000007691</v>
      </c>
      <c r="C438" s="42" t="s">
        <v>854</v>
      </c>
      <c r="D438" s="35" t="s">
        <v>129</v>
      </c>
      <c r="E438" s="31"/>
      <c r="F438" s="32">
        <v>13.31</v>
      </c>
      <c r="G438" s="33">
        <f t="shared" si="24"/>
        <v>0</v>
      </c>
      <c r="H438" s="33">
        <f>ROUND('[1]RESUMO DA PROPOSTA'!$C$18*F438,2)</f>
        <v>25.29</v>
      </c>
      <c r="I438" s="33">
        <f t="shared" si="25"/>
        <v>0</v>
      </c>
      <c r="J438" s="34"/>
    </row>
    <row r="439" spans="1:10" x14ac:dyDescent="0.25">
      <c r="A439" s="41" t="s">
        <v>855</v>
      </c>
      <c r="B439" s="28">
        <v>5000011252</v>
      </c>
      <c r="C439" s="42" t="s">
        <v>856</v>
      </c>
      <c r="D439" s="35" t="s">
        <v>129</v>
      </c>
      <c r="E439" s="31"/>
      <c r="F439" s="32">
        <v>65.069999999999993</v>
      </c>
      <c r="G439" s="33">
        <f t="shared" si="24"/>
        <v>0</v>
      </c>
      <c r="H439" s="33">
        <f>ROUND('[1]RESUMO DA PROPOSTA'!$C$18*F439,2)</f>
        <v>123.63</v>
      </c>
      <c r="I439" s="33">
        <f t="shared" si="25"/>
        <v>0</v>
      </c>
      <c r="J439" s="34"/>
    </row>
    <row r="440" spans="1:10" x14ac:dyDescent="0.25">
      <c r="A440" s="41" t="s">
        <v>857</v>
      </c>
      <c r="B440" s="28">
        <v>5000011253</v>
      </c>
      <c r="C440" s="42" t="s">
        <v>858</v>
      </c>
      <c r="D440" s="35" t="s">
        <v>129</v>
      </c>
      <c r="E440" s="31"/>
      <c r="F440" s="32">
        <v>15.03</v>
      </c>
      <c r="G440" s="33">
        <f t="shared" si="24"/>
        <v>0</v>
      </c>
      <c r="H440" s="33">
        <f>ROUND('[1]RESUMO DA PROPOSTA'!$C$18*F440,2)</f>
        <v>28.56</v>
      </c>
      <c r="I440" s="33">
        <f t="shared" si="25"/>
        <v>0</v>
      </c>
      <c r="J440" s="34"/>
    </row>
    <row r="441" spans="1:10" x14ac:dyDescent="0.25">
      <c r="A441" s="41" t="s">
        <v>859</v>
      </c>
      <c r="B441" s="28">
        <v>5000007621</v>
      </c>
      <c r="C441" s="42" t="s">
        <v>860</v>
      </c>
      <c r="D441" s="35" t="s">
        <v>178</v>
      </c>
      <c r="E441" s="31"/>
      <c r="F441" s="32">
        <v>310</v>
      </c>
      <c r="G441" s="33">
        <f t="shared" si="24"/>
        <v>0</v>
      </c>
      <c r="H441" s="33">
        <f>ROUND('[1]RESUMO DA PROPOSTA'!$C$18*F441,2)</f>
        <v>589</v>
      </c>
      <c r="I441" s="33">
        <f t="shared" si="25"/>
        <v>0</v>
      </c>
      <c r="J441" s="34"/>
    </row>
    <row r="442" spans="1:10" ht="38.25" x14ac:dyDescent="0.25">
      <c r="A442" s="41" t="s">
        <v>861</v>
      </c>
      <c r="B442" s="28">
        <v>3000016192</v>
      </c>
      <c r="C442" s="42" t="s">
        <v>862</v>
      </c>
      <c r="D442" s="35" t="s">
        <v>129</v>
      </c>
      <c r="E442" s="31"/>
      <c r="F442" s="32">
        <v>31.52</v>
      </c>
      <c r="G442" s="33">
        <f t="shared" si="24"/>
        <v>0</v>
      </c>
      <c r="H442" s="33">
        <f>ROUND('[1]RESUMO DA PROPOSTA'!$C$18*F442,2)</f>
        <v>59.89</v>
      </c>
      <c r="I442" s="33">
        <f t="shared" si="25"/>
        <v>0</v>
      </c>
      <c r="J442" s="34"/>
    </row>
    <row r="443" spans="1:10" x14ac:dyDescent="0.25">
      <c r="A443" s="41" t="s">
        <v>863</v>
      </c>
      <c r="B443" s="28">
        <v>5000011449</v>
      </c>
      <c r="C443" s="42" t="s">
        <v>864</v>
      </c>
      <c r="D443" s="35" t="s">
        <v>129</v>
      </c>
      <c r="E443" s="31"/>
      <c r="F443" s="32">
        <v>17.59</v>
      </c>
      <c r="G443" s="33">
        <f t="shared" si="24"/>
        <v>0</v>
      </c>
      <c r="H443" s="33">
        <f>ROUND('[1]RESUMO DA PROPOSTA'!$C$18*F443,2)</f>
        <v>33.42</v>
      </c>
      <c r="I443" s="33">
        <f t="shared" si="25"/>
        <v>0</v>
      </c>
      <c r="J443" s="34"/>
    </row>
    <row r="444" spans="1:10" x14ac:dyDescent="0.25">
      <c r="A444" s="41" t="s">
        <v>865</v>
      </c>
      <c r="B444" s="28">
        <v>5000011450</v>
      </c>
      <c r="C444" s="42" t="s">
        <v>866</v>
      </c>
      <c r="D444" s="35" t="s">
        <v>129</v>
      </c>
      <c r="E444" s="31"/>
      <c r="F444" s="32">
        <v>34</v>
      </c>
      <c r="G444" s="33">
        <f t="shared" si="24"/>
        <v>0</v>
      </c>
      <c r="H444" s="33">
        <f>ROUND('[1]RESUMO DA PROPOSTA'!$C$18*F444,2)</f>
        <v>64.599999999999994</v>
      </c>
      <c r="I444" s="33">
        <f t="shared" si="25"/>
        <v>0</v>
      </c>
      <c r="J444" s="34"/>
    </row>
    <row r="445" spans="1:10" x14ac:dyDescent="0.25">
      <c r="A445" s="41" t="s">
        <v>867</v>
      </c>
      <c r="B445" s="28">
        <v>5000011451</v>
      </c>
      <c r="C445" s="42" t="s">
        <v>868</v>
      </c>
      <c r="D445" s="35" t="s">
        <v>129</v>
      </c>
      <c r="E445" s="31"/>
      <c r="F445" s="32">
        <v>28.23</v>
      </c>
      <c r="G445" s="33">
        <f t="shared" si="24"/>
        <v>0</v>
      </c>
      <c r="H445" s="33">
        <f>ROUND('[1]RESUMO DA PROPOSTA'!$C$18*F445,2)</f>
        <v>53.64</v>
      </c>
      <c r="I445" s="33">
        <f t="shared" si="25"/>
        <v>0</v>
      </c>
      <c r="J445" s="34"/>
    </row>
    <row r="446" spans="1:10" x14ac:dyDescent="0.25">
      <c r="A446" s="41" t="s">
        <v>869</v>
      </c>
      <c r="B446" s="28">
        <v>5000011452</v>
      </c>
      <c r="C446" s="42" t="s">
        <v>870</v>
      </c>
      <c r="D446" s="35" t="s">
        <v>129</v>
      </c>
      <c r="E446" s="31"/>
      <c r="F446" s="32">
        <v>41.9</v>
      </c>
      <c r="G446" s="33">
        <f t="shared" si="24"/>
        <v>0</v>
      </c>
      <c r="H446" s="33">
        <f>ROUND('[1]RESUMO DA PROPOSTA'!$C$18*F446,2)</f>
        <v>79.61</v>
      </c>
      <c r="I446" s="33">
        <f t="shared" si="25"/>
        <v>0</v>
      </c>
      <c r="J446" s="34"/>
    </row>
    <row r="447" spans="1:10" x14ac:dyDescent="0.25">
      <c r="A447" s="41" t="s">
        <v>871</v>
      </c>
      <c r="B447" s="28">
        <v>5000011453</v>
      </c>
      <c r="C447" s="42" t="s">
        <v>872</v>
      </c>
      <c r="D447" s="35" t="s">
        <v>129</v>
      </c>
      <c r="E447" s="31"/>
      <c r="F447" s="32">
        <v>528.67999999999995</v>
      </c>
      <c r="G447" s="33">
        <f t="shared" si="24"/>
        <v>0</v>
      </c>
      <c r="H447" s="33">
        <f>ROUND('[1]RESUMO DA PROPOSTA'!$C$18*F447,2)</f>
        <v>1004.49</v>
      </c>
      <c r="I447" s="33">
        <f t="shared" si="25"/>
        <v>0</v>
      </c>
      <c r="J447" s="34"/>
    </row>
    <row r="448" spans="1:10" ht="38.25" x14ac:dyDescent="0.25">
      <c r="A448" s="41" t="s">
        <v>873</v>
      </c>
      <c r="B448" s="28">
        <v>5000006667</v>
      </c>
      <c r="C448" s="42" t="s">
        <v>874</v>
      </c>
      <c r="D448" s="35" t="s">
        <v>129</v>
      </c>
      <c r="E448" s="31"/>
      <c r="F448" s="32">
        <v>36.94</v>
      </c>
      <c r="G448" s="33">
        <f t="shared" si="24"/>
        <v>0</v>
      </c>
      <c r="H448" s="33">
        <f>ROUND('[1]RESUMO DA PROPOSTA'!$C$18*F448,2)</f>
        <v>70.19</v>
      </c>
      <c r="I448" s="33">
        <f t="shared" si="25"/>
        <v>0</v>
      </c>
      <c r="J448" s="34"/>
    </row>
    <row r="449" spans="1:10" ht="38.25" x14ac:dyDescent="0.25">
      <c r="A449" s="41" t="s">
        <v>875</v>
      </c>
      <c r="B449" s="28">
        <v>3000016144</v>
      </c>
      <c r="C449" s="42" t="s">
        <v>876</v>
      </c>
      <c r="D449" s="35" t="s">
        <v>178</v>
      </c>
      <c r="E449" s="31"/>
      <c r="F449" s="66">
        <v>470.16</v>
      </c>
      <c r="G449" s="33">
        <f t="shared" si="24"/>
        <v>0</v>
      </c>
      <c r="H449" s="33">
        <f>ROUND('[1]RESUMO DA PROPOSTA'!$C$18*F449,2)</f>
        <v>893.3</v>
      </c>
      <c r="I449" s="33">
        <f t="shared" si="25"/>
        <v>0</v>
      </c>
      <c r="J449" s="34"/>
    </row>
    <row r="450" spans="1:10" x14ac:dyDescent="0.25">
      <c r="A450" s="41" t="s">
        <v>877</v>
      </c>
      <c r="B450" s="28">
        <v>5000007483</v>
      </c>
      <c r="C450" s="42" t="s">
        <v>878</v>
      </c>
      <c r="D450" s="35" t="s">
        <v>120</v>
      </c>
      <c r="E450" s="31">
        <v>1</v>
      </c>
      <c r="F450" s="32">
        <v>120.07</v>
      </c>
      <c r="G450" s="33">
        <f t="shared" si="24"/>
        <v>120.07</v>
      </c>
      <c r="H450" s="33">
        <f>ROUND('[1]RESUMO DA PROPOSTA'!$C$18*F450,2)</f>
        <v>228.13</v>
      </c>
      <c r="I450" s="33">
        <f t="shared" si="25"/>
        <v>228.13</v>
      </c>
      <c r="J450" s="34"/>
    </row>
    <row r="451" spans="1:10" x14ac:dyDescent="0.25">
      <c r="A451" s="41" t="s">
        <v>879</v>
      </c>
      <c r="B451" s="28">
        <v>5000011254</v>
      </c>
      <c r="C451" s="42" t="s">
        <v>880</v>
      </c>
      <c r="D451" s="35" t="s">
        <v>129</v>
      </c>
      <c r="E451" s="31"/>
      <c r="F451" s="32">
        <v>132.18</v>
      </c>
      <c r="G451" s="33">
        <f t="shared" si="24"/>
        <v>0</v>
      </c>
      <c r="H451" s="33">
        <f>ROUND('[1]RESUMO DA PROPOSTA'!$C$18*F451,2)</f>
        <v>251.14</v>
      </c>
      <c r="I451" s="33">
        <f t="shared" si="25"/>
        <v>0</v>
      </c>
      <c r="J451" s="34"/>
    </row>
    <row r="452" spans="1:10" ht="38.25" x14ac:dyDescent="0.25">
      <c r="A452" s="41" t="s">
        <v>881</v>
      </c>
      <c r="B452" s="28">
        <v>5000007412</v>
      </c>
      <c r="C452" s="42" t="s">
        <v>882</v>
      </c>
      <c r="D452" s="35" t="s">
        <v>129</v>
      </c>
      <c r="E452" s="31">
        <v>90</v>
      </c>
      <c r="F452" s="32">
        <v>85.91</v>
      </c>
      <c r="G452" s="33">
        <f t="shared" si="24"/>
        <v>7731.9</v>
      </c>
      <c r="H452" s="33">
        <f>ROUND('[1]RESUMO DA PROPOSTA'!$C$18*F452,2)</f>
        <v>163.22999999999999</v>
      </c>
      <c r="I452" s="33">
        <f t="shared" si="25"/>
        <v>14690.7</v>
      </c>
      <c r="J452" s="34"/>
    </row>
    <row r="453" spans="1:10" ht="25.5" x14ac:dyDescent="0.25">
      <c r="A453" s="41" t="s">
        <v>883</v>
      </c>
      <c r="B453" s="28">
        <v>5000007473</v>
      </c>
      <c r="C453" s="42" t="s">
        <v>884</v>
      </c>
      <c r="D453" s="35" t="s">
        <v>129</v>
      </c>
      <c r="E453" s="31"/>
      <c r="F453" s="32">
        <v>72</v>
      </c>
      <c r="G453" s="33">
        <f t="shared" si="24"/>
        <v>0</v>
      </c>
      <c r="H453" s="33">
        <f>ROUND('[1]RESUMO DA PROPOSTA'!$C$18*F453,2)</f>
        <v>136.80000000000001</v>
      </c>
      <c r="I453" s="33">
        <f t="shared" si="25"/>
        <v>0</v>
      </c>
      <c r="J453" s="34"/>
    </row>
    <row r="454" spans="1:10" ht="25.5" x14ac:dyDescent="0.25">
      <c r="A454" s="41" t="s">
        <v>885</v>
      </c>
      <c r="B454" s="28">
        <v>5000007413</v>
      </c>
      <c r="C454" s="42" t="s">
        <v>886</v>
      </c>
      <c r="D454" s="35" t="s">
        <v>129</v>
      </c>
      <c r="E454" s="31"/>
      <c r="F454" s="32">
        <v>88.7</v>
      </c>
      <c r="G454" s="33">
        <f t="shared" si="24"/>
        <v>0</v>
      </c>
      <c r="H454" s="33">
        <f>ROUND('[1]RESUMO DA PROPOSTA'!$C$18*F454,2)</f>
        <v>168.53</v>
      </c>
      <c r="I454" s="33">
        <f t="shared" si="25"/>
        <v>0</v>
      </c>
      <c r="J454" s="34"/>
    </row>
    <row r="455" spans="1:10" x14ac:dyDescent="0.25">
      <c r="A455" s="41" t="s">
        <v>887</v>
      </c>
      <c r="B455" s="28">
        <v>3000019066</v>
      </c>
      <c r="C455" s="42" t="s">
        <v>888</v>
      </c>
      <c r="D455" s="35" t="s">
        <v>117</v>
      </c>
      <c r="E455" s="31"/>
      <c r="F455" s="32">
        <v>1117.6199999999999</v>
      </c>
      <c r="G455" s="33">
        <f t="shared" si="24"/>
        <v>0</v>
      </c>
      <c r="H455" s="33">
        <f>ROUND('[1]RESUMO DA PROPOSTA'!$C$18*F455,2)</f>
        <v>2123.48</v>
      </c>
      <c r="I455" s="33">
        <f t="shared" si="25"/>
        <v>0</v>
      </c>
      <c r="J455" s="34"/>
    </row>
    <row r="456" spans="1:10" ht="25.5" x14ac:dyDescent="0.25">
      <c r="A456" s="41" t="s">
        <v>889</v>
      </c>
      <c r="B456" s="28">
        <v>3000016308</v>
      </c>
      <c r="C456" s="42" t="s">
        <v>890</v>
      </c>
      <c r="D456" s="35" t="s">
        <v>129</v>
      </c>
      <c r="E456" s="31"/>
      <c r="F456" s="32">
        <v>3441.67</v>
      </c>
      <c r="G456" s="33">
        <f t="shared" si="24"/>
        <v>0</v>
      </c>
      <c r="H456" s="33">
        <f>ROUND('[1]RESUMO DA PROPOSTA'!$C$18*F456,2)</f>
        <v>6539.17</v>
      </c>
      <c r="I456" s="33">
        <f t="shared" si="25"/>
        <v>0</v>
      </c>
      <c r="J456" s="34"/>
    </row>
    <row r="457" spans="1:10" x14ac:dyDescent="0.25">
      <c r="A457" s="41" t="s">
        <v>891</v>
      </c>
      <c r="B457" s="28">
        <v>3000016308</v>
      </c>
      <c r="C457" s="42" t="s">
        <v>892</v>
      </c>
      <c r="D457" s="35" t="s">
        <v>129</v>
      </c>
      <c r="E457" s="31"/>
      <c r="F457" s="32">
        <v>3441.67</v>
      </c>
      <c r="G457" s="33">
        <f t="shared" si="24"/>
        <v>0</v>
      </c>
      <c r="H457" s="33">
        <f>ROUND('[1]RESUMO DA PROPOSTA'!$C$18*F457,2)</f>
        <v>6539.17</v>
      </c>
      <c r="I457" s="33">
        <f t="shared" si="25"/>
        <v>0</v>
      </c>
      <c r="J457" s="34"/>
    </row>
    <row r="458" spans="1:10" x14ac:dyDescent="0.25">
      <c r="A458" s="41" t="s">
        <v>893</v>
      </c>
      <c r="B458" s="28">
        <v>5000011255</v>
      </c>
      <c r="C458" s="42" t="s">
        <v>894</v>
      </c>
      <c r="D458" s="35" t="s">
        <v>129</v>
      </c>
      <c r="E458" s="31"/>
      <c r="F458" s="32">
        <v>268.72000000000003</v>
      </c>
      <c r="G458" s="33">
        <f t="shared" si="24"/>
        <v>0</v>
      </c>
      <c r="H458" s="33">
        <f>ROUND('[1]RESUMO DA PROPOSTA'!$C$18*F458,2)</f>
        <v>510.57</v>
      </c>
      <c r="I458" s="33">
        <f t="shared" si="25"/>
        <v>0</v>
      </c>
      <c r="J458" s="34"/>
    </row>
    <row r="459" spans="1:10" x14ac:dyDescent="0.25">
      <c r="A459" s="41" t="s">
        <v>895</v>
      </c>
      <c r="B459" s="28">
        <v>5000006669</v>
      </c>
      <c r="C459" s="42" t="s">
        <v>896</v>
      </c>
      <c r="D459" s="35" t="s">
        <v>129</v>
      </c>
      <c r="E459" s="31"/>
      <c r="F459" s="32">
        <v>73.58</v>
      </c>
      <c r="G459" s="33">
        <f t="shared" si="24"/>
        <v>0</v>
      </c>
      <c r="H459" s="33">
        <f>ROUND('[1]RESUMO DA PROPOSTA'!$C$18*F459,2)</f>
        <v>139.80000000000001</v>
      </c>
      <c r="I459" s="33">
        <f t="shared" si="25"/>
        <v>0</v>
      </c>
      <c r="J459" s="34"/>
    </row>
    <row r="460" spans="1:10" x14ac:dyDescent="0.25">
      <c r="A460" s="41" t="s">
        <v>897</v>
      </c>
      <c r="B460" s="28">
        <v>3000016262</v>
      </c>
      <c r="C460" s="42" t="s">
        <v>898</v>
      </c>
      <c r="D460" s="35" t="s">
        <v>120</v>
      </c>
      <c r="E460" s="31">
        <v>18.399999999999999</v>
      </c>
      <c r="F460" s="32">
        <v>1491.17</v>
      </c>
      <c r="G460" s="33">
        <f t="shared" si="24"/>
        <v>27437.53</v>
      </c>
      <c r="H460" s="33">
        <f>ROUND('[1]RESUMO DA PROPOSTA'!$C$18*F460,2)</f>
        <v>2833.22</v>
      </c>
      <c r="I460" s="33">
        <f t="shared" si="25"/>
        <v>52131.25</v>
      </c>
      <c r="J460" s="34"/>
    </row>
    <row r="461" spans="1:10" x14ac:dyDescent="0.25">
      <c r="A461" s="41" t="s">
        <v>899</v>
      </c>
      <c r="B461" s="28">
        <v>5000011454</v>
      </c>
      <c r="C461" s="42" t="s">
        <v>900</v>
      </c>
      <c r="D461" s="35" t="s">
        <v>29</v>
      </c>
      <c r="E461" s="31"/>
      <c r="F461" s="32">
        <v>3335.02</v>
      </c>
      <c r="G461" s="33">
        <f t="shared" si="24"/>
        <v>0</v>
      </c>
      <c r="H461" s="33">
        <f>ROUND('[1]RESUMO DA PROPOSTA'!$C$18*F461,2)</f>
        <v>6336.54</v>
      </c>
      <c r="I461" s="33">
        <f t="shared" si="25"/>
        <v>0</v>
      </c>
      <c r="J461" s="34"/>
    </row>
    <row r="462" spans="1:10" ht="25.5" x14ac:dyDescent="0.25">
      <c r="A462" s="41" t="s">
        <v>901</v>
      </c>
      <c r="B462" s="28">
        <v>5000007613</v>
      </c>
      <c r="C462" s="42" t="s">
        <v>902</v>
      </c>
      <c r="D462" s="35" t="s">
        <v>178</v>
      </c>
      <c r="E462" s="31"/>
      <c r="F462" s="32">
        <v>470.16</v>
      </c>
      <c r="G462" s="33">
        <f t="shared" si="24"/>
        <v>0</v>
      </c>
      <c r="H462" s="33">
        <f>ROUND('[1]RESUMO DA PROPOSTA'!$C$18*F462,2)</f>
        <v>893.3</v>
      </c>
      <c r="I462" s="33">
        <f t="shared" si="25"/>
        <v>0</v>
      </c>
      <c r="J462" s="34"/>
    </row>
    <row r="463" spans="1:10" ht="15.75" x14ac:dyDescent="0.25">
      <c r="A463" s="43" t="s">
        <v>903</v>
      </c>
      <c r="B463" s="44"/>
      <c r="C463" s="45" t="s">
        <v>904</v>
      </c>
      <c r="D463" s="46"/>
      <c r="E463" s="47"/>
      <c r="F463" s="48" t="s">
        <v>17</v>
      </c>
      <c r="G463" s="49">
        <f>SUBTOTAL(9,G464:G475)</f>
        <v>0</v>
      </c>
      <c r="H463" s="48" t="s">
        <v>17</v>
      </c>
      <c r="I463" s="49">
        <f>SUBTOTAL(9,I464:I475)</f>
        <v>0</v>
      </c>
      <c r="J463" s="50"/>
    </row>
    <row r="464" spans="1:10" x14ac:dyDescent="0.25">
      <c r="A464" s="41" t="s">
        <v>905</v>
      </c>
      <c r="B464" s="28">
        <v>5000007579</v>
      </c>
      <c r="C464" s="42" t="s">
        <v>906</v>
      </c>
      <c r="D464" s="35" t="s">
        <v>178</v>
      </c>
      <c r="E464" s="31"/>
      <c r="F464" s="32">
        <v>1001.94</v>
      </c>
      <c r="G464" s="33">
        <f t="shared" ref="G464:G475" si="26">ROUND(E464*F464,2)</f>
        <v>0</v>
      </c>
      <c r="H464" s="33">
        <f>ROUND('[1]RESUMO DA PROPOSTA'!$C$18*F464,2)</f>
        <v>1903.69</v>
      </c>
      <c r="I464" s="33">
        <f t="shared" ref="I464:I475" si="27">ROUND(E464*H464,2)</f>
        <v>0</v>
      </c>
      <c r="J464" s="34"/>
    </row>
    <row r="465" spans="1:10" x14ac:dyDescent="0.25">
      <c r="A465" s="41" t="s">
        <v>907</v>
      </c>
      <c r="B465" s="28">
        <v>5000007579</v>
      </c>
      <c r="C465" s="42" t="s">
        <v>908</v>
      </c>
      <c r="D465" s="35" t="s">
        <v>178</v>
      </c>
      <c r="E465" s="31"/>
      <c r="F465" s="32">
        <v>1001.94</v>
      </c>
      <c r="G465" s="33">
        <f t="shared" si="26"/>
        <v>0</v>
      </c>
      <c r="H465" s="33">
        <f>ROUND('[1]RESUMO DA PROPOSTA'!$C$18*F465,2)</f>
        <v>1903.69</v>
      </c>
      <c r="I465" s="33">
        <f t="shared" si="27"/>
        <v>0</v>
      </c>
      <c r="J465" s="34"/>
    </row>
    <row r="466" spans="1:10" x14ac:dyDescent="0.25">
      <c r="A466" s="41" t="s">
        <v>909</v>
      </c>
      <c r="B466" s="28">
        <v>5000007579</v>
      </c>
      <c r="C466" s="42" t="s">
        <v>910</v>
      </c>
      <c r="D466" s="35" t="s">
        <v>178</v>
      </c>
      <c r="E466" s="31"/>
      <c r="F466" s="32">
        <v>1001.94</v>
      </c>
      <c r="G466" s="33">
        <f t="shared" si="26"/>
        <v>0</v>
      </c>
      <c r="H466" s="33">
        <f>ROUND('[1]RESUMO DA PROPOSTA'!$C$18*F466,2)</f>
        <v>1903.69</v>
      </c>
      <c r="I466" s="33">
        <f t="shared" si="27"/>
        <v>0</v>
      </c>
      <c r="J466" s="34"/>
    </row>
    <row r="467" spans="1:10" ht="25.5" x14ac:dyDescent="0.25">
      <c r="A467" s="41" t="s">
        <v>911</v>
      </c>
      <c r="B467" s="28">
        <v>5000006532</v>
      </c>
      <c r="C467" s="42" t="s">
        <v>912</v>
      </c>
      <c r="D467" s="35" t="s">
        <v>29</v>
      </c>
      <c r="E467" s="31"/>
      <c r="F467" s="32">
        <v>62938.33</v>
      </c>
      <c r="G467" s="33">
        <f t="shared" si="26"/>
        <v>0</v>
      </c>
      <c r="H467" s="33">
        <f>ROUND('[1]RESUMO DA PROPOSTA'!$C$18*F467,2)</f>
        <v>119582.83</v>
      </c>
      <c r="I467" s="33">
        <f t="shared" si="27"/>
        <v>0</v>
      </c>
      <c r="J467" s="34"/>
    </row>
    <row r="468" spans="1:10" ht="25.5" x14ac:dyDescent="0.25">
      <c r="A468" s="41" t="s">
        <v>913</v>
      </c>
      <c r="B468" s="28">
        <v>3000018593</v>
      </c>
      <c r="C468" s="42" t="s">
        <v>914</v>
      </c>
      <c r="D468" s="35" t="s">
        <v>29</v>
      </c>
      <c r="E468" s="31"/>
      <c r="F468" s="32">
        <v>29378.94</v>
      </c>
      <c r="G468" s="33">
        <f t="shared" si="26"/>
        <v>0</v>
      </c>
      <c r="H468" s="33">
        <f>ROUND('[1]RESUMO DA PROPOSTA'!$C$18*F468,2)</f>
        <v>55819.99</v>
      </c>
      <c r="I468" s="33">
        <f t="shared" si="27"/>
        <v>0</v>
      </c>
      <c r="J468" s="34"/>
    </row>
    <row r="469" spans="1:10" ht="25.5" x14ac:dyDescent="0.25">
      <c r="A469" s="41" t="s">
        <v>915</v>
      </c>
      <c r="B469" s="28">
        <v>3000019058</v>
      </c>
      <c r="C469" s="42" t="s">
        <v>916</v>
      </c>
      <c r="D469" s="35" t="s">
        <v>29</v>
      </c>
      <c r="E469" s="31"/>
      <c r="F469" s="32">
        <v>110253.78</v>
      </c>
      <c r="G469" s="33">
        <f t="shared" si="26"/>
        <v>0</v>
      </c>
      <c r="H469" s="33">
        <f>ROUND('[1]RESUMO DA PROPOSTA'!$C$18*F469,2)</f>
        <v>209482.18</v>
      </c>
      <c r="I469" s="33">
        <f t="shared" si="27"/>
        <v>0</v>
      </c>
      <c r="J469" s="34"/>
    </row>
    <row r="470" spans="1:10" x14ac:dyDescent="0.25">
      <c r="A470" s="41" t="s">
        <v>917</v>
      </c>
      <c r="B470" s="28">
        <v>5000008702</v>
      </c>
      <c r="C470" s="42" t="s">
        <v>918</v>
      </c>
      <c r="D470" s="35" t="s">
        <v>29</v>
      </c>
      <c r="E470" s="31"/>
      <c r="F470" s="32">
        <v>1145.55</v>
      </c>
      <c r="G470" s="33">
        <f t="shared" si="26"/>
        <v>0</v>
      </c>
      <c r="H470" s="33">
        <f>ROUND('[1]RESUMO DA PROPOSTA'!$C$18*F470,2)</f>
        <v>2176.5500000000002</v>
      </c>
      <c r="I470" s="33">
        <f t="shared" si="27"/>
        <v>0</v>
      </c>
      <c r="J470" s="34"/>
    </row>
    <row r="471" spans="1:10" x14ac:dyDescent="0.25">
      <c r="A471" s="41" t="s">
        <v>919</v>
      </c>
      <c r="B471" s="28">
        <v>5000007414</v>
      </c>
      <c r="C471" s="42" t="s">
        <v>920</v>
      </c>
      <c r="D471" s="35" t="s">
        <v>120</v>
      </c>
      <c r="E471" s="31"/>
      <c r="F471" s="32">
        <v>1221.94</v>
      </c>
      <c r="G471" s="33">
        <f t="shared" si="26"/>
        <v>0</v>
      </c>
      <c r="H471" s="33">
        <f>ROUND('[1]RESUMO DA PROPOSTA'!$C$18*F471,2)</f>
        <v>2321.69</v>
      </c>
      <c r="I471" s="33">
        <f t="shared" si="27"/>
        <v>0</v>
      </c>
      <c r="J471" s="34"/>
    </row>
    <row r="472" spans="1:10" x14ac:dyDescent="0.25">
      <c r="A472" s="41" t="s">
        <v>921</v>
      </c>
      <c r="B472" s="28">
        <v>5000011256</v>
      </c>
      <c r="C472" s="42" t="s">
        <v>922</v>
      </c>
      <c r="D472" s="35" t="s">
        <v>120</v>
      </c>
      <c r="E472" s="31"/>
      <c r="F472" s="32">
        <v>407.55</v>
      </c>
      <c r="G472" s="33">
        <f t="shared" si="26"/>
        <v>0</v>
      </c>
      <c r="H472" s="33">
        <f>ROUND('[1]RESUMO DA PROPOSTA'!$C$18*F472,2)</f>
        <v>774.35</v>
      </c>
      <c r="I472" s="33">
        <f t="shared" si="27"/>
        <v>0</v>
      </c>
      <c r="J472" s="34"/>
    </row>
    <row r="473" spans="1:10" ht="38.25" x14ac:dyDescent="0.25">
      <c r="A473" s="41" t="s">
        <v>923</v>
      </c>
      <c r="B473" s="28">
        <v>3000016153</v>
      </c>
      <c r="C473" s="42" t="s">
        <v>924</v>
      </c>
      <c r="D473" s="35" t="s">
        <v>120</v>
      </c>
      <c r="E473" s="31"/>
      <c r="F473" s="32">
        <v>1047.7</v>
      </c>
      <c r="G473" s="33">
        <f t="shared" si="26"/>
        <v>0</v>
      </c>
      <c r="H473" s="33">
        <f>ROUND('[1]RESUMO DA PROPOSTA'!$C$18*F473,2)</f>
        <v>1990.63</v>
      </c>
      <c r="I473" s="33">
        <f t="shared" si="27"/>
        <v>0</v>
      </c>
      <c r="J473" s="34"/>
    </row>
    <row r="474" spans="1:10" x14ac:dyDescent="0.25">
      <c r="A474" s="41" t="s">
        <v>925</v>
      </c>
      <c r="B474" s="28">
        <v>5000011455</v>
      </c>
      <c r="C474" s="42" t="s">
        <v>926</v>
      </c>
      <c r="D474" s="35" t="s">
        <v>120</v>
      </c>
      <c r="E474" s="31"/>
      <c r="F474" s="32">
        <v>2124.8200000000002</v>
      </c>
      <c r="G474" s="33">
        <f t="shared" si="26"/>
        <v>0</v>
      </c>
      <c r="H474" s="33">
        <f>ROUND('[1]RESUMO DA PROPOSTA'!$C$18*F474,2)</f>
        <v>4037.16</v>
      </c>
      <c r="I474" s="33">
        <f t="shared" si="27"/>
        <v>0</v>
      </c>
      <c r="J474" s="34"/>
    </row>
    <row r="475" spans="1:10" x14ac:dyDescent="0.25">
      <c r="A475" s="41" t="s">
        <v>927</v>
      </c>
      <c r="B475" s="28">
        <v>5000011456</v>
      </c>
      <c r="C475" s="42" t="s">
        <v>928</v>
      </c>
      <c r="D475" s="35" t="s">
        <v>120</v>
      </c>
      <c r="E475" s="31"/>
      <c r="F475" s="32">
        <v>985.34</v>
      </c>
      <c r="G475" s="33">
        <f t="shared" si="26"/>
        <v>0</v>
      </c>
      <c r="H475" s="33">
        <f>ROUND('[1]RESUMO DA PROPOSTA'!$C$18*F475,2)</f>
        <v>1872.15</v>
      </c>
      <c r="I475" s="33">
        <f t="shared" si="27"/>
        <v>0</v>
      </c>
      <c r="J475" s="34"/>
    </row>
    <row r="476" spans="1:10" ht="15.75" x14ac:dyDescent="0.25">
      <c r="A476" s="43" t="s">
        <v>929</v>
      </c>
      <c r="B476" s="44"/>
      <c r="C476" s="45" t="s">
        <v>930</v>
      </c>
      <c r="D476" s="46"/>
      <c r="E476" s="47"/>
      <c r="F476" s="48" t="s">
        <v>17</v>
      </c>
      <c r="G476" s="49">
        <f>SUBTOTAL(9,G477:G486)</f>
        <v>0</v>
      </c>
      <c r="H476" s="48" t="s">
        <v>17</v>
      </c>
      <c r="I476" s="49">
        <f>SUBTOTAL(9,I477:I486)</f>
        <v>0</v>
      </c>
      <c r="J476" s="50"/>
    </row>
    <row r="477" spans="1:10" x14ac:dyDescent="0.25">
      <c r="A477" s="41" t="s">
        <v>931</v>
      </c>
      <c r="B477" s="28">
        <v>5000011257</v>
      </c>
      <c r="C477" s="42" t="s">
        <v>932</v>
      </c>
      <c r="D477" s="35" t="s">
        <v>29</v>
      </c>
      <c r="E477" s="31"/>
      <c r="F477" s="32">
        <v>63.86</v>
      </c>
      <c r="G477" s="33">
        <f t="shared" ref="G477:G486" si="28">ROUND(E477*F477,2)</f>
        <v>0</v>
      </c>
      <c r="H477" s="33">
        <f>ROUND('[1]RESUMO DA PROPOSTA'!$C$18*F477,2)</f>
        <v>121.33</v>
      </c>
      <c r="I477" s="33">
        <f t="shared" ref="I477:I486" si="29">ROUND(E477*H477,2)</f>
        <v>0</v>
      </c>
      <c r="J477" s="34"/>
    </row>
    <row r="478" spans="1:10" x14ac:dyDescent="0.25">
      <c r="A478" s="41" t="s">
        <v>933</v>
      </c>
      <c r="B478" s="28">
        <v>5000011258</v>
      </c>
      <c r="C478" s="42" t="s">
        <v>934</v>
      </c>
      <c r="D478" s="35" t="s">
        <v>29</v>
      </c>
      <c r="E478" s="31"/>
      <c r="F478" s="32">
        <v>1761.98</v>
      </c>
      <c r="G478" s="33">
        <f t="shared" si="28"/>
        <v>0</v>
      </c>
      <c r="H478" s="33">
        <f>ROUND('[1]RESUMO DA PROPOSTA'!$C$18*F478,2)</f>
        <v>3347.76</v>
      </c>
      <c r="I478" s="33">
        <f t="shared" si="29"/>
        <v>0</v>
      </c>
      <c r="J478" s="34"/>
    </row>
    <row r="479" spans="1:10" x14ac:dyDescent="0.25">
      <c r="A479" s="41" t="s">
        <v>935</v>
      </c>
      <c r="B479" s="28">
        <v>5000011259</v>
      </c>
      <c r="C479" s="42" t="s">
        <v>936</v>
      </c>
      <c r="D479" s="35" t="s">
        <v>29</v>
      </c>
      <c r="E479" s="31"/>
      <c r="F479" s="32">
        <v>1185.94</v>
      </c>
      <c r="G479" s="33">
        <f t="shared" si="28"/>
        <v>0</v>
      </c>
      <c r="H479" s="33">
        <f>ROUND('[1]RESUMO DA PROPOSTA'!$C$18*F479,2)</f>
        <v>2253.29</v>
      </c>
      <c r="I479" s="33">
        <f t="shared" si="29"/>
        <v>0</v>
      </c>
      <c r="J479" s="34"/>
    </row>
    <row r="480" spans="1:10" x14ac:dyDescent="0.25">
      <c r="A480" s="41" t="s">
        <v>937</v>
      </c>
      <c r="B480" s="28">
        <v>5000011260</v>
      </c>
      <c r="C480" s="42" t="s">
        <v>938</v>
      </c>
      <c r="D480" s="35" t="s">
        <v>29</v>
      </c>
      <c r="E480" s="31"/>
      <c r="F480" s="32">
        <v>3415.5</v>
      </c>
      <c r="G480" s="33">
        <f t="shared" si="28"/>
        <v>0</v>
      </c>
      <c r="H480" s="33">
        <f>ROUND('[1]RESUMO DA PROPOSTA'!$C$18*F480,2)</f>
        <v>6489.45</v>
      </c>
      <c r="I480" s="33">
        <f t="shared" si="29"/>
        <v>0</v>
      </c>
      <c r="J480" s="34"/>
    </row>
    <row r="481" spans="1:10" x14ac:dyDescent="0.25">
      <c r="A481" s="41" t="s">
        <v>939</v>
      </c>
      <c r="B481" s="28">
        <v>5000011261</v>
      </c>
      <c r="C481" s="42" t="s">
        <v>940</v>
      </c>
      <c r="D481" s="35" t="s">
        <v>29</v>
      </c>
      <c r="E481" s="31"/>
      <c r="F481" s="32">
        <v>850.35</v>
      </c>
      <c r="G481" s="33">
        <f t="shared" si="28"/>
        <v>0</v>
      </c>
      <c r="H481" s="33">
        <f>ROUND('[1]RESUMO DA PROPOSTA'!$C$18*F481,2)</f>
        <v>1615.67</v>
      </c>
      <c r="I481" s="33">
        <f t="shared" si="29"/>
        <v>0</v>
      </c>
      <c r="J481" s="34"/>
    </row>
    <row r="482" spans="1:10" ht="25.5" x14ac:dyDescent="0.25">
      <c r="A482" s="41" t="s">
        <v>941</v>
      </c>
      <c r="B482" s="28">
        <v>5000007578</v>
      </c>
      <c r="C482" s="42" t="s">
        <v>942</v>
      </c>
      <c r="D482" s="35" t="s">
        <v>129</v>
      </c>
      <c r="E482" s="31"/>
      <c r="F482" s="32">
        <v>1183.71</v>
      </c>
      <c r="G482" s="33">
        <f t="shared" si="28"/>
        <v>0</v>
      </c>
      <c r="H482" s="33">
        <f>ROUND('[1]RESUMO DA PROPOSTA'!$C$18*F482,2)</f>
        <v>2249.0500000000002</v>
      </c>
      <c r="I482" s="33">
        <f t="shared" si="29"/>
        <v>0</v>
      </c>
      <c r="J482" s="34"/>
    </row>
    <row r="483" spans="1:10" x14ac:dyDescent="0.25">
      <c r="A483" s="41" t="s">
        <v>943</v>
      </c>
      <c r="B483" s="28">
        <v>5000011262</v>
      </c>
      <c r="C483" s="42" t="s">
        <v>944</v>
      </c>
      <c r="D483" s="35" t="s">
        <v>29</v>
      </c>
      <c r="E483" s="31"/>
      <c r="F483" s="32">
        <v>2991.84</v>
      </c>
      <c r="G483" s="33">
        <f t="shared" si="28"/>
        <v>0</v>
      </c>
      <c r="H483" s="33">
        <f>ROUND('[1]RESUMO DA PROPOSTA'!$C$18*F483,2)</f>
        <v>5684.5</v>
      </c>
      <c r="I483" s="33">
        <f t="shared" si="29"/>
        <v>0</v>
      </c>
      <c r="J483" s="34"/>
    </row>
    <row r="484" spans="1:10" x14ac:dyDescent="0.25">
      <c r="A484" s="41" t="s">
        <v>945</v>
      </c>
      <c r="B484" s="28">
        <v>5000007415</v>
      </c>
      <c r="C484" s="42" t="s">
        <v>946</v>
      </c>
      <c r="D484" s="35" t="s">
        <v>29</v>
      </c>
      <c r="E484" s="31"/>
      <c r="F484" s="32">
        <v>1908.27</v>
      </c>
      <c r="G484" s="33">
        <f t="shared" si="28"/>
        <v>0</v>
      </c>
      <c r="H484" s="33">
        <f>ROUND('[1]RESUMO DA PROPOSTA'!$C$18*F484,2)</f>
        <v>3625.71</v>
      </c>
      <c r="I484" s="33">
        <f t="shared" si="29"/>
        <v>0</v>
      </c>
      <c r="J484" s="34"/>
    </row>
    <row r="485" spans="1:10" x14ac:dyDescent="0.25">
      <c r="A485" s="41" t="s">
        <v>947</v>
      </c>
      <c r="B485" s="28">
        <v>5000011263</v>
      </c>
      <c r="C485" s="42" t="s">
        <v>948</v>
      </c>
      <c r="D485" s="35" t="s">
        <v>29</v>
      </c>
      <c r="E485" s="31"/>
      <c r="F485" s="32">
        <v>4704.0600000000004</v>
      </c>
      <c r="G485" s="33">
        <f t="shared" si="28"/>
        <v>0</v>
      </c>
      <c r="H485" s="33">
        <f>ROUND('[1]RESUMO DA PROPOSTA'!$C$18*F485,2)</f>
        <v>8937.7099999999991</v>
      </c>
      <c r="I485" s="33">
        <f t="shared" si="29"/>
        <v>0</v>
      </c>
      <c r="J485" s="34"/>
    </row>
    <row r="486" spans="1:10" x14ac:dyDescent="0.25">
      <c r="A486" s="41" t="s">
        <v>949</v>
      </c>
      <c r="B486" s="28">
        <v>5000007660</v>
      </c>
      <c r="C486" s="42" t="s">
        <v>950</v>
      </c>
      <c r="D486" s="35" t="s">
        <v>29</v>
      </c>
      <c r="E486" s="31"/>
      <c r="F486" s="32">
        <v>2800</v>
      </c>
      <c r="G486" s="33">
        <f t="shared" si="28"/>
        <v>0</v>
      </c>
      <c r="H486" s="33">
        <f>ROUND('[1]RESUMO DA PROPOSTA'!$C$18*F486,2)</f>
        <v>5320</v>
      </c>
      <c r="I486" s="33">
        <f t="shared" si="29"/>
        <v>0</v>
      </c>
      <c r="J486" s="34"/>
    </row>
    <row r="487" spans="1:10" ht="15.75" x14ac:dyDescent="0.25">
      <c r="A487" s="43" t="s">
        <v>951</v>
      </c>
      <c r="B487" s="44"/>
      <c r="C487" s="45" t="s">
        <v>952</v>
      </c>
      <c r="D487" s="46"/>
      <c r="E487" s="47"/>
      <c r="F487" s="48" t="s">
        <v>17</v>
      </c>
      <c r="G487" s="49">
        <f>SUBTOTAL(9,G488:G489)</f>
        <v>0</v>
      </c>
      <c r="H487" s="48" t="s">
        <v>17</v>
      </c>
      <c r="I487" s="49">
        <f>SUBTOTAL(9,I488:I489)</f>
        <v>0</v>
      </c>
      <c r="J487" s="50"/>
    </row>
    <row r="488" spans="1:10" x14ac:dyDescent="0.25">
      <c r="A488" s="58" t="s">
        <v>953</v>
      </c>
      <c r="B488" s="28">
        <v>5000007553</v>
      </c>
      <c r="C488" s="42" t="s">
        <v>954</v>
      </c>
      <c r="D488" s="35" t="s">
        <v>29</v>
      </c>
      <c r="E488" s="31"/>
      <c r="F488" s="66">
        <v>78.11</v>
      </c>
      <c r="G488" s="60">
        <f>ROUND(E488*F488,2)</f>
        <v>0</v>
      </c>
      <c r="H488" s="60">
        <f>ROUND('[1]RESUMO DA PROPOSTA'!$C$18*F488,2)</f>
        <v>148.41</v>
      </c>
      <c r="I488" s="60">
        <f>ROUND(E488*H488,2)</f>
        <v>0</v>
      </c>
      <c r="J488" s="61"/>
    </row>
    <row r="489" spans="1:10" ht="25.5" x14ac:dyDescent="0.25">
      <c r="A489" s="58" t="s">
        <v>955</v>
      </c>
      <c r="B489" s="28">
        <v>3000007938</v>
      </c>
      <c r="C489" s="42" t="s">
        <v>956</v>
      </c>
      <c r="D489" s="35" t="s">
        <v>129</v>
      </c>
      <c r="E489" s="31"/>
      <c r="F489" s="32">
        <v>275</v>
      </c>
      <c r="G489" s="33">
        <f>ROUND(E489*F489,2)</f>
        <v>0</v>
      </c>
      <c r="H489" s="33">
        <f>ROUND('[1]RESUMO DA PROPOSTA'!$C$18*F489,2)</f>
        <v>522.5</v>
      </c>
      <c r="I489" s="33">
        <f>ROUND(E489*H489,2)</f>
        <v>0</v>
      </c>
      <c r="J489" s="34"/>
    </row>
    <row r="490" spans="1:10" ht="15.75" x14ac:dyDescent="0.25">
      <c r="A490" s="18" t="s">
        <v>957</v>
      </c>
      <c r="B490" s="19"/>
      <c r="C490" s="20" t="s">
        <v>958</v>
      </c>
      <c r="D490" s="21"/>
      <c r="E490" s="40"/>
      <c r="F490" s="23" t="s">
        <v>17</v>
      </c>
      <c r="G490" s="24">
        <f>SUBTOTAL(9,G491:G662)</f>
        <v>0</v>
      </c>
      <c r="H490" s="25" t="s">
        <v>17</v>
      </c>
      <c r="I490" s="24">
        <f>SUBTOTAL(9,I491:I662)</f>
        <v>0</v>
      </c>
      <c r="J490" s="26"/>
    </row>
    <row r="491" spans="1:10" ht="15.75" x14ac:dyDescent="0.25">
      <c r="A491" s="43" t="s">
        <v>959</v>
      </c>
      <c r="B491" s="44"/>
      <c r="C491" s="45" t="s">
        <v>960</v>
      </c>
      <c r="D491" s="46"/>
      <c r="E491" s="47"/>
      <c r="F491" s="48" t="s">
        <v>17</v>
      </c>
      <c r="G491" s="49">
        <f>SUBTOTAL(9,G492:G589)</f>
        <v>0</v>
      </c>
      <c r="H491" s="48" t="s">
        <v>17</v>
      </c>
      <c r="I491" s="49">
        <f>SUBTOTAL(9,I492:I589)</f>
        <v>0</v>
      </c>
      <c r="J491" s="50"/>
    </row>
    <row r="492" spans="1:10" ht="25.5" x14ac:dyDescent="0.25">
      <c r="A492" s="67" t="s">
        <v>961</v>
      </c>
      <c r="B492" s="68"/>
      <c r="C492" s="69" t="s">
        <v>962</v>
      </c>
      <c r="D492" s="70"/>
      <c r="E492" s="71"/>
      <c r="F492" s="72" t="s">
        <v>17</v>
      </c>
      <c r="G492" s="73">
        <f>SUBTOTAL(9,G493:G504)</f>
        <v>0</v>
      </c>
      <c r="H492" s="72" t="s">
        <v>17</v>
      </c>
      <c r="I492" s="73">
        <f>SUBTOTAL(9,I493:I504)</f>
        <v>0</v>
      </c>
      <c r="J492" s="74"/>
    </row>
    <row r="493" spans="1:10" x14ac:dyDescent="0.25">
      <c r="A493" s="41" t="s">
        <v>963</v>
      </c>
      <c r="B493" s="28">
        <v>5000006696</v>
      </c>
      <c r="C493" s="42" t="s">
        <v>964</v>
      </c>
      <c r="D493" s="30" t="s">
        <v>29</v>
      </c>
      <c r="E493" s="31"/>
      <c r="F493" s="32">
        <v>554.33000000000004</v>
      </c>
      <c r="G493" s="33">
        <f t="shared" ref="G493:G504" si="30">ROUND(E493*F493,2)</f>
        <v>0</v>
      </c>
      <c r="H493" s="33">
        <f>ROUND('[1]RESUMO DA PROPOSTA'!$C$19*F493,2)</f>
        <v>1053.23</v>
      </c>
      <c r="I493" s="33">
        <f t="shared" ref="I493:I504" si="31">ROUND(E493*H493,2)</f>
        <v>0</v>
      </c>
      <c r="J493" s="34"/>
    </row>
    <row r="494" spans="1:10" x14ac:dyDescent="0.25">
      <c r="A494" s="41" t="s">
        <v>965</v>
      </c>
      <c r="B494" s="28">
        <v>5000007385</v>
      </c>
      <c r="C494" s="42" t="s">
        <v>966</v>
      </c>
      <c r="D494" s="30" t="s">
        <v>29</v>
      </c>
      <c r="E494" s="31"/>
      <c r="F494" s="32">
        <v>554.33000000000004</v>
      </c>
      <c r="G494" s="33">
        <f t="shared" si="30"/>
        <v>0</v>
      </c>
      <c r="H494" s="33">
        <f>ROUND('[1]RESUMO DA PROPOSTA'!$C$19*F494,2)</f>
        <v>1053.23</v>
      </c>
      <c r="I494" s="33">
        <f t="shared" si="31"/>
        <v>0</v>
      </c>
      <c r="J494" s="34"/>
    </row>
    <row r="495" spans="1:10" x14ac:dyDescent="0.25">
      <c r="A495" s="41" t="s">
        <v>967</v>
      </c>
      <c r="B495" s="28">
        <v>5000007628</v>
      </c>
      <c r="C495" s="42" t="s">
        <v>968</v>
      </c>
      <c r="D495" s="30" t="s">
        <v>29</v>
      </c>
      <c r="E495" s="31"/>
      <c r="F495" s="32">
        <v>3915.3999999999996</v>
      </c>
      <c r="G495" s="33">
        <f t="shared" si="30"/>
        <v>0</v>
      </c>
      <c r="H495" s="33">
        <f>ROUND('[1]RESUMO DA PROPOSTA'!$C$19*F495,2)</f>
        <v>7439.26</v>
      </c>
      <c r="I495" s="33">
        <f t="shared" si="31"/>
        <v>0</v>
      </c>
      <c r="J495" s="34"/>
    </row>
    <row r="496" spans="1:10" x14ac:dyDescent="0.25">
      <c r="A496" s="41" t="s">
        <v>969</v>
      </c>
      <c r="B496" s="28">
        <v>5000007630</v>
      </c>
      <c r="C496" s="42" t="s">
        <v>970</v>
      </c>
      <c r="D496" s="30" t="s">
        <v>29</v>
      </c>
      <c r="E496" s="31"/>
      <c r="F496" s="32">
        <v>1764.37</v>
      </c>
      <c r="G496" s="33">
        <f t="shared" si="30"/>
        <v>0</v>
      </c>
      <c r="H496" s="33">
        <f>ROUND('[1]RESUMO DA PROPOSTA'!$C$19*F496,2)</f>
        <v>3352.3</v>
      </c>
      <c r="I496" s="33">
        <f t="shared" si="31"/>
        <v>0</v>
      </c>
      <c r="J496" s="34"/>
    </row>
    <row r="497" spans="1:10" x14ac:dyDescent="0.25">
      <c r="A497" s="41" t="s">
        <v>971</v>
      </c>
      <c r="B497" s="28">
        <v>5000007652</v>
      </c>
      <c r="C497" s="42" t="s">
        <v>972</v>
      </c>
      <c r="D497" s="30" t="s">
        <v>463</v>
      </c>
      <c r="E497" s="31"/>
      <c r="F497" s="32">
        <v>4.3600000000000003</v>
      </c>
      <c r="G497" s="33">
        <f t="shared" si="30"/>
        <v>0</v>
      </c>
      <c r="H497" s="33">
        <f>ROUND('[1]RESUMO DA PROPOSTA'!$C$19*F497,2)</f>
        <v>8.2799999999999994</v>
      </c>
      <c r="I497" s="33">
        <f t="shared" si="31"/>
        <v>0</v>
      </c>
      <c r="J497" s="34"/>
    </row>
    <row r="498" spans="1:10" x14ac:dyDescent="0.25">
      <c r="A498" s="41" t="s">
        <v>973</v>
      </c>
      <c r="B498" s="28">
        <v>5000007655</v>
      </c>
      <c r="C498" s="42" t="s">
        <v>974</v>
      </c>
      <c r="D498" s="30" t="s">
        <v>29</v>
      </c>
      <c r="E498" s="31"/>
      <c r="F498" s="32">
        <v>1928.55</v>
      </c>
      <c r="G498" s="33">
        <f t="shared" si="30"/>
        <v>0</v>
      </c>
      <c r="H498" s="33">
        <f>ROUND('[1]RESUMO DA PROPOSTA'!$C$19*F498,2)</f>
        <v>3664.25</v>
      </c>
      <c r="I498" s="33">
        <f t="shared" si="31"/>
        <v>0</v>
      </c>
      <c r="J498" s="34"/>
    </row>
    <row r="499" spans="1:10" x14ac:dyDescent="0.25">
      <c r="A499" s="41" t="s">
        <v>975</v>
      </c>
      <c r="B499" s="28">
        <v>3000017599</v>
      </c>
      <c r="C499" s="42" t="s">
        <v>976</v>
      </c>
      <c r="D499" s="30" t="s">
        <v>29</v>
      </c>
      <c r="E499" s="31"/>
      <c r="F499" s="32">
        <v>4295</v>
      </c>
      <c r="G499" s="33">
        <f t="shared" si="30"/>
        <v>0</v>
      </c>
      <c r="H499" s="33">
        <f>ROUND('[1]RESUMO DA PROPOSTA'!$C$19*F499,2)</f>
        <v>8160.5</v>
      </c>
      <c r="I499" s="33">
        <f t="shared" si="31"/>
        <v>0</v>
      </c>
      <c r="J499" s="34"/>
    </row>
    <row r="500" spans="1:10" x14ac:dyDescent="0.25">
      <c r="A500" s="41" t="s">
        <v>977</v>
      </c>
      <c r="B500" s="28">
        <v>5000011066</v>
      </c>
      <c r="C500" s="42" t="s">
        <v>978</v>
      </c>
      <c r="D500" s="30" t="s">
        <v>29</v>
      </c>
      <c r="E500" s="31"/>
      <c r="F500" s="32">
        <v>1584.95</v>
      </c>
      <c r="G500" s="33">
        <f t="shared" si="30"/>
        <v>0</v>
      </c>
      <c r="H500" s="33">
        <f>ROUND('[1]RESUMO DA PROPOSTA'!$C$19*F500,2)</f>
        <v>3011.41</v>
      </c>
      <c r="I500" s="33">
        <f t="shared" si="31"/>
        <v>0</v>
      </c>
      <c r="J500" s="34"/>
    </row>
    <row r="501" spans="1:10" x14ac:dyDescent="0.25">
      <c r="A501" s="41" t="s">
        <v>979</v>
      </c>
      <c r="B501" s="28">
        <v>5000011067</v>
      </c>
      <c r="C501" s="42" t="s">
        <v>980</v>
      </c>
      <c r="D501" s="30" t="s">
        <v>29</v>
      </c>
      <c r="E501" s="31"/>
      <c r="F501" s="32">
        <v>1345.36</v>
      </c>
      <c r="G501" s="33">
        <f t="shared" si="30"/>
        <v>0</v>
      </c>
      <c r="H501" s="33">
        <f>ROUND('[1]RESUMO DA PROPOSTA'!$C$19*F501,2)</f>
        <v>2556.1799999999998</v>
      </c>
      <c r="I501" s="33">
        <f t="shared" si="31"/>
        <v>0</v>
      </c>
      <c r="J501" s="34"/>
    </row>
    <row r="502" spans="1:10" x14ac:dyDescent="0.25">
      <c r="A502" s="41" t="s">
        <v>981</v>
      </c>
      <c r="B502" s="28">
        <v>5000011068</v>
      </c>
      <c r="C502" s="42" t="s">
        <v>982</v>
      </c>
      <c r="D502" s="30" t="s">
        <v>29</v>
      </c>
      <c r="E502" s="31"/>
      <c r="F502" s="32">
        <v>1067.78</v>
      </c>
      <c r="G502" s="33">
        <f t="shared" si="30"/>
        <v>0</v>
      </c>
      <c r="H502" s="33">
        <f>ROUND('[1]RESUMO DA PROPOSTA'!$C$19*F502,2)</f>
        <v>2028.78</v>
      </c>
      <c r="I502" s="33">
        <f t="shared" si="31"/>
        <v>0</v>
      </c>
      <c r="J502" s="34"/>
    </row>
    <row r="503" spans="1:10" x14ac:dyDescent="0.25">
      <c r="A503" s="41" t="s">
        <v>983</v>
      </c>
      <c r="B503" s="28">
        <v>5000011269</v>
      </c>
      <c r="C503" s="42" t="s">
        <v>984</v>
      </c>
      <c r="D503" s="30" t="s">
        <v>29</v>
      </c>
      <c r="E503" s="31"/>
      <c r="F503" s="32">
        <v>1067.78</v>
      </c>
      <c r="G503" s="33">
        <f t="shared" si="30"/>
        <v>0</v>
      </c>
      <c r="H503" s="33">
        <f>ROUND('[1]RESUMO DA PROPOSTA'!$C$19*F503,2)</f>
        <v>2028.78</v>
      </c>
      <c r="I503" s="33">
        <f t="shared" si="31"/>
        <v>0</v>
      </c>
      <c r="J503" s="34"/>
    </row>
    <row r="504" spans="1:10" x14ac:dyDescent="0.25">
      <c r="A504" s="41" t="s">
        <v>985</v>
      </c>
      <c r="B504" s="28">
        <v>5000011270</v>
      </c>
      <c r="C504" s="42" t="s">
        <v>986</v>
      </c>
      <c r="D504" s="30" t="s">
        <v>29</v>
      </c>
      <c r="E504" s="31"/>
      <c r="F504" s="32">
        <v>994.57</v>
      </c>
      <c r="G504" s="33">
        <f t="shared" si="30"/>
        <v>0</v>
      </c>
      <c r="H504" s="33">
        <f>ROUND('[1]RESUMO DA PROPOSTA'!$C$19*F504,2)</f>
        <v>1889.68</v>
      </c>
      <c r="I504" s="33">
        <f t="shared" si="31"/>
        <v>0</v>
      </c>
      <c r="J504" s="34"/>
    </row>
    <row r="505" spans="1:10" x14ac:dyDescent="0.25">
      <c r="A505" s="67" t="s">
        <v>987</v>
      </c>
      <c r="B505" s="68"/>
      <c r="C505" s="69" t="s">
        <v>988</v>
      </c>
      <c r="D505" s="70"/>
      <c r="E505" s="71"/>
      <c r="F505" s="72" t="s">
        <v>17</v>
      </c>
      <c r="G505" s="73">
        <f>SUBTOTAL(9,G506:G512)</f>
        <v>0</v>
      </c>
      <c r="H505" s="72" t="s">
        <v>17</v>
      </c>
      <c r="I505" s="73">
        <f>SUBTOTAL(9,I506:I512)</f>
        <v>0</v>
      </c>
      <c r="J505" s="74"/>
    </row>
    <row r="506" spans="1:10" x14ac:dyDescent="0.25">
      <c r="A506" s="75" t="s">
        <v>989</v>
      </c>
      <c r="B506" s="76"/>
      <c r="C506" s="77" t="s">
        <v>990</v>
      </c>
      <c r="D506" s="78"/>
      <c r="E506" s="79"/>
      <c r="F506" s="80" t="s">
        <v>17</v>
      </c>
      <c r="G506" s="81">
        <f>SUBTOTAL(9,G507:G507)</f>
        <v>0</v>
      </c>
      <c r="H506" s="80" t="s">
        <v>17</v>
      </c>
      <c r="I506" s="81">
        <f>SUBTOTAL(9,I507:I507)</f>
        <v>0</v>
      </c>
      <c r="J506" s="82"/>
    </row>
    <row r="507" spans="1:10" x14ac:dyDescent="0.25">
      <c r="A507" s="41" t="s">
        <v>991</v>
      </c>
      <c r="B507" s="28">
        <v>5000007575</v>
      </c>
      <c r="C507" s="42" t="s">
        <v>992</v>
      </c>
      <c r="D507" s="30" t="s">
        <v>20</v>
      </c>
      <c r="E507" s="31"/>
      <c r="F507" s="32">
        <v>4868.8</v>
      </c>
      <c r="G507" s="33">
        <f>ROUND(E507*F507,2)</f>
        <v>0</v>
      </c>
      <c r="H507" s="33">
        <f>ROUND('[1]RESUMO DA PROPOSTA'!$C$19*F507,2)</f>
        <v>9250.7199999999993</v>
      </c>
      <c r="I507" s="33">
        <f>ROUND(E507*H507,2)</f>
        <v>0</v>
      </c>
      <c r="J507" s="34"/>
    </row>
    <row r="508" spans="1:10" x14ac:dyDescent="0.25">
      <c r="A508" s="75" t="s">
        <v>993</v>
      </c>
      <c r="B508" s="76"/>
      <c r="C508" s="77" t="s">
        <v>994</v>
      </c>
      <c r="D508" s="78"/>
      <c r="E508" s="79"/>
      <c r="F508" s="80" t="s">
        <v>17</v>
      </c>
      <c r="G508" s="81">
        <f>SUBTOTAL(9,G509:G512)</f>
        <v>0</v>
      </c>
      <c r="H508" s="80" t="s">
        <v>17</v>
      </c>
      <c r="I508" s="81">
        <f>SUBTOTAL(9,I509:I512)</f>
        <v>0</v>
      </c>
      <c r="J508" s="82"/>
    </row>
    <row r="509" spans="1:10" ht="25.5" x14ac:dyDescent="0.25">
      <c r="A509" s="41" t="s">
        <v>995</v>
      </c>
      <c r="B509" s="28">
        <v>3000016130</v>
      </c>
      <c r="C509" s="42" t="s">
        <v>996</v>
      </c>
      <c r="D509" s="30" t="s">
        <v>29</v>
      </c>
      <c r="E509" s="31"/>
      <c r="F509" s="32">
        <v>337.73</v>
      </c>
      <c r="G509" s="33">
        <f>ROUND(E509*F509,2)</f>
        <v>0</v>
      </c>
      <c r="H509" s="33">
        <f>ROUND('[1]RESUMO DA PROPOSTA'!$C$19*F509,2)</f>
        <v>641.69000000000005</v>
      </c>
      <c r="I509" s="33">
        <f>ROUND(E509*H509,2)</f>
        <v>0</v>
      </c>
      <c r="J509" s="34"/>
    </row>
    <row r="510" spans="1:10" x14ac:dyDescent="0.25">
      <c r="A510" s="41" t="s">
        <v>997</v>
      </c>
      <c r="B510" s="28">
        <v>3000017670</v>
      </c>
      <c r="C510" s="42" t="s">
        <v>998</v>
      </c>
      <c r="D510" s="30" t="s">
        <v>29</v>
      </c>
      <c r="E510" s="31"/>
      <c r="F510" s="32">
        <v>100</v>
      </c>
      <c r="G510" s="33">
        <f>ROUND(E510*F510,2)</f>
        <v>0</v>
      </c>
      <c r="H510" s="33">
        <f>ROUND('[1]RESUMO DA PROPOSTA'!$C$19*F510,2)</f>
        <v>190</v>
      </c>
      <c r="I510" s="33">
        <f>ROUND(E510*H510,2)</f>
        <v>0</v>
      </c>
      <c r="J510" s="34"/>
    </row>
    <row r="511" spans="1:10" x14ac:dyDescent="0.25">
      <c r="A511" s="41" t="s">
        <v>999</v>
      </c>
      <c r="B511" s="28">
        <v>5000007707</v>
      </c>
      <c r="C511" s="42" t="s">
        <v>1000</v>
      </c>
      <c r="D511" s="30" t="s">
        <v>120</v>
      </c>
      <c r="E511" s="31"/>
      <c r="F511" s="32">
        <v>57.44</v>
      </c>
      <c r="G511" s="33">
        <f>ROUND(E511*F511,2)</f>
        <v>0</v>
      </c>
      <c r="H511" s="33">
        <f>ROUND('[1]RESUMO DA PROPOSTA'!$C$19*F511,2)</f>
        <v>109.14</v>
      </c>
      <c r="I511" s="33">
        <f>ROUND(E511*H511,2)</f>
        <v>0</v>
      </c>
      <c r="J511" s="34"/>
    </row>
    <row r="512" spans="1:10" x14ac:dyDescent="0.25">
      <c r="A512" s="41" t="s">
        <v>1001</v>
      </c>
      <c r="B512" s="28">
        <v>5000011272</v>
      </c>
      <c r="C512" s="42" t="s">
        <v>1002</v>
      </c>
      <c r="D512" s="30" t="s">
        <v>254</v>
      </c>
      <c r="E512" s="31"/>
      <c r="F512" s="32">
        <v>174.26</v>
      </c>
      <c r="G512" s="33">
        <f>ROUND(E512*F512,2)</f>
        <v>0</v>
      </c>
      <c r="H512" s="33">
        <f>ROUND('[1]RESUMO DA PROPOSTA'!$C$19*F512,2)</f>
        <v>331.09</v>
      </c>
      <c r="I512" s="33">
        <f>ROUND(E512*H512,2)</f>
        <v>0</v>
      </c>
      <c r="J512" s="34"/>
    </row>
    <row r="513" spans="1:10" x14ac:dyDescent="0.25">
      <c r="A513" s="67" t="s">
        <v>1003</v>
      </c>
      <c r="B513" s="68"/>
      <c r="C513" s="69" t="s">
        <v>1004</v>
      </c>
      <c r="D513" s="70"/>
      <c r="E513" s="71"/>
      <c r="F513" s="72" t="s">
        <v>17</v>
      </c>
      <c r="G513" s="73">
        <f>SUBTOTAL(9,G514:G532)</f>
        <v>0</v>
      </c>
      <c r="H513" s="72" t="s">
        <v>17</v>
      </c>
      <c r="I513" s="73">
        <f>SUBTOTAL(9,I514:I532)</f>
        <v>0</v>
      </c>
      <c r="J513" s="74"/>
    </row>
    <row r="514" spans="1:10" x14ac:dyDescent="0.25">
      <c r="A514" s="41" t="s">
        <v>1005</v>
      </c>
      <c r="B514" s="28">
        <v>5000007387</v>
      </c>
      <c r="C514" s="42" t="s">
        <v>1006</v>
      </c>
      <c r="D514" s="30" t="s">
        <v>120</v>
      </c>
      <c r="E514" s="31"/>
      <c r="F514" s="32">
        <v>11.68</v>
      </c>
      <c r="G514" s="33">
        <f t="shared" ref="G514:G532" si="32">ROUND(E514*F514,2)</f>
        <v>0</v>
      </c>
      <c r="H514" s="33">
        <f>ROUND('[1]RESUMO DA PROPOSTA'!$C$19*F514,2)</f>
        <v>22.19</v>
      </c>
      <c r="I514" s="33">
        <f t="shared" ref="I514:I532" si="33">ROUND(E514*H514,2)</f>
        <v>0</v>
      </c>
      <c r="J514" s="34"/>
    </row>
    <row r="515" spans="1:10" x14ac:dyDescent="0.25">
      <c r="A515" s="41" t="s">
        <v>1007</v>
      </c>
      <c r="B515" s="28">
        <v>5000007388</v>
      </c>
      <c r="C515" s="42" t="s">
        <v>1008</v>
      </c>
      <c r="D515" s="30" t="s">
        <v>29</v>
      </c>
      <c r="E515" s="31"/>
      <c r="F515" s="32">
        <v>497.42</v>
      </c>
      <c r="G515" s="33">
        <f t="shared" si="32"/>
        <v>0</v>
      </c>
      <c r="H515" s="33">
        <f>ROUND('[1]RESUMO DA PROPOSTA'!$C$19*F515,2)</f>
        <v>945.1</v>
      </c>
      <c r="I515" s="33">
        <f t="shared" si="33"/>
        <v>0</v>
      </c>
      <c r="J515" s="34"/>
    </row>
    <row r="516" spans="1:10" x14ac:dyDescent="0.25">
      <c r="A516" s="41" t="s">
        <v>1009</v>
      </c>
      <c r="B516" s="28">
        <v>5000007554</v>
      </c>
      <c r="C516" s="42" t="s">
        <v>1010</v>
      </c>
      <c r="D516" s="30" t="s">
        <v>29</v>
      </c>
      <c r="E516" s="31"/>
      <c r="F516" s="32">
        <v>174.26</v>
      </c>
      <c r="G516" s="33">
        <f t="shared" si="32"/>
        <v>0</v>
      </c>
      <c r="H516" s="33">
        <f>ROUND('[1]RESUMO DA PROPOSTA'!$C$19*F516,2)</f>
        <v>331.09</v>
      </c>
      <c r="I516" s="33">
        <f t="shared" si="33"/>
        <v>0</v>
      </c>
      <c r="J516" s="34"/>
    </row>
    <row r="517" spans="1:10" x14ac:dyDescent="0.25">
      <c r="A517" s="41" t="s">
        <v>1011</v>
      </c>
      <c r="B517" s="28">
        <v>5000007573</v>
      </c>
      <c r="C517" s="42" t="s">
        <v>1012</v>
      </c>
      <c r="D517" s="30" t="s">
        <v>29</v>
      </c>
      <c r="E517" s="31"/>
      <c r="F517" s="32">
        <v>265.29000000000002</v>
      </c>
      <c r="G517" s="33">
        <f t="shared" si="32"/>
        <v>0</v>
      </c>
      <c r="H517" s="33">
        <f>ROUND('[1]RESUMO DA PROPOSTA'!$C$19*F517,2)</f>
        <v>504.05</v>
      </c>
      <c r="I517" s="33">
        <f t="shared" si="33"/>
        <v>0</v>
      </c>
      <c r="J517" s="34"/>
    </row>
    <row r="518" spans="1:10" ht="25.5" x14ac:dyDescent="0.25">
      <c r="A518" s="41" t="s">
        <v>1013</v>
      </c>
      <c r="B518" s="28">
        <v>5000007584</v>
      </c>
      <c r="C518" s="42" t="s">
        <v>1014</v>
      </c>
      <c r="D518" s="30" t="s">
        <v>29</v>
      </c>
      <c r="E518" s="31"/>
      <c r="F518" s="32">
        <v>554.28</v>
      </c>
      <c r="G518" s="33">
        <f t="shared" si="32"/>
        <v>0</v>
      </c>
      <c r="H518" s="33">
        <f>ROUND('[1]RESUMO DA PROPOSTA'!$C$19*F518,2)</f>
        <v>1053.1300000000001</v>
      </c>
      <c r="I518" s="33">
        <f t="shared" si="33"/>
        <v>0</v>
      </c>
      <c r="J518" s="34"/>
    </row>
    <row r="519" spans="1:10" x14ac:dyDescent="0.25">
      <c r="A519" s="41" t="s">
        <v>1015</v>
      </c>
      <c r="B519" s="28">
        <v>3000016113</v>
      </c>
      <c r="C519" s="42" t="s">
        <v>1016</v>
      </c>
      <c r="D519" s="30" t="s">
        <v>29</v>
      </c>
      <c r="E519" s="31"/>
      <c r="F519" s="32">
        <v>111.88</v>
      </c>
      <c r="G519" s="33">
        <f t="shared" si="32"/>
        <v>0</v>
      </c>
      <c r="H519" s="33">
        <f>ROUND('[1]RESUMO DA PROPOSTA'!$C$19*F519,2)</f>
        <v>212.57</v>
      </c>
      <c r="I519" s="33">
        <f t="shared" si="33"/>
        <v>0</v>
      </c>
      <c r="J519" s="34"/>
    </row>
    <row r="520" spans="1:10" x14ac:dyDescent="0.25">
      <c r="A520" s="41" t="s">
        <v>1017</v>
      </c>
      <c r="B520" s="28">
        <v>5000007611</v>
      </c>
      <c r="C520" s="42" t="s">
        <v>1018</v>
      </c>
      <c r="D520" s="30" t="s">
        <v>29</v>
      </c>
      <c r="E520" s="31"/>
      <c r="F520" s="32">
        <v>508.3</v>
      </c>
      <c r="G520" s="33">
        <f t="shared" si="32"/>
        <v>0</v>
      </c>
      <c r="H520" s="33">
        <f>ROUND('[1]RESUMO DA PROPOSTA'!$C$19*F520,2)</f>
        <v>965.77</v>
      </c>
      <c r="I520" s="33">
        <f t="shared" si="33"/>
        <v>0</v>
      </c>
      <c r="J520" s="34"/>
    </row>
    <row r="521" spans="1:10" x14ac:dyDescent="0.25">
      <c r="A521" s="41" t="s">
        <v>1019</v>
      </c>
      <c r="B521" s="28">
        <v>5000007612</v>
      </c>
      <c r="C521" s="42" t="s">
        <v>1020</v>
      </c>
      <c r="D521" s="30" t="s">
        <v>29</v>
      </c>
      <c r="E521" s="31"/>
      <c r="F521" s="32">
        <v>459.82</v>
      </c>
      <c r="G521" s="33">
        <f t="shared" si="32"/>
        <v>0</v>
      </c>
      <c r="H521" s="33">
        <f>ROUND('[1]RESUMO DA PROPOSTA'!$C$19*F521,2)</f>
        <v>873.66</v>
      </c>
      <c r="I521" s="33">
        <f t="shared" si="33"/>
        <v>0</v>
      </c>
      <c r="J521" s="34"/>
    </row>
    <row r="522" spans="1:10" x14ac:dyDescent="0.25">
      <c r="A522" s="41" t="s">
        <v>1021</v>
      </c>
      <c r="B522" s="28">
        <v>5000007615</v>
      </c>
      <c r="C522" s="42" t="s">
        <v>1022</v>
      </c>
      <c r="D522" s="30" t="s">
        <v>120</v>
      </c>
      <c r="E522" s="31"/>
      <c r="F522" s="32">
        <v>124.47</v>
      </c>
      <c r="G522" s="33">
        <f t="shared" si="32"/>
        <v>0</v>
      </c>
      <c r="H522" s="33">
        <f>ROUND('[1]RESUMO DA PROPOSTA'!$C$19*F522,2)</f>
        <v>236.49</v>
      </c>
      <c r="I522" s="33">
        <f t="shared" si="33"/>
        <v>0</v>
      </c>
      <c r="J522" s="34"/>
    </row>
    <row r="523" spans="1:10" x14ac:dyDescent="0.25">
      <c r="A523" s="41" t="s">
        <v>1023</v>
      </c>
      <c r="B523" s="28">
        <v>5000007616</v>
      </c>
      <c r="C523" s="42" t="s">
        <v>1024</v>
      </c>
      <c r="D523" s="30" t="s">
        <v>120</v>
      </c>
      <c r="E523" s="31"/>
      <c r="F523" s="32">
        <v>167.47</v>
      </c>
      <c r="G523" s="33">
        <f t="shared" si="32"/>
        <v>0</v>
      </c>
      <c r="H523" s="33">
        <f>ROUND('[1]RESUMO DA PROPOSTA'!$C$19*F523,2)</f>
        <v>318.19</v>
      </c>
      <c r="I523" s="33">
        <f t="shared" si="33"/>
        <v>0</v>
      </c>
      <c r="J523" s="34"/>
    </row>
    <row r="524" spans="1:10" x14ac:dyDescent="0.25">
      <c r="A524" s="41" t="s">
        <v>1025</v>
      </c>
      <c r="B524" s="28">
        <v>5000007647</v>
      </c>
      <c r="C524" s="42" t="s">
        <v>1026</v>
      </c>
      <c r="D524" s="30" t="s">
        <v>29</v>
      </c>
      <c r="E524" s="31"/>
      <c r="F524" s="32">
        <v>203.96</v>
      </c>
      <c r="G524" s="33">
        <f t="shared" si="32"/>
        <v>0</v>
      </c>
      <c r="H524" s="33">
        <f>ROUND('[1]RESUMO DA PROPOSTA'!$C$19*F524,2)</f>
        <v>387.52</v>
      </c>
      <c r="I524" s="33">
        <f t="shared" si="33"/>
        <v>0</v>
      </c>
      <c r="J524" s="34"/>
    </row>
    <row r="525" spans="1:10" ht="25.5" x14ac:dyDescent="0.25">
      <c r="A525" s="41" t="s">
        <v>1027</v>
      </c>
      <c r="B525" s="28">
        <v>3000016284</v>
      </c>
      <c r="C525" s="42" t="s">
        <v>1028</v>
      </c>
      <c r="D525" s="30" t="s">
        <v>29</v>
      </c>
      <c r="E525" s="31"/>
      <c r="F525" s="32">
        <v>203.96</v>
      </c>
      <c r="G525" s="33">
        <f t="shared" si="32"/>
        <v>0</v>
      </c>
      <c r="H525" s="33">
        <f>ROUND('[1]RESUMO DA PROPOSTA'!$C$19*F525,2)</f>
        <v>387.52</v>
      </c>
      <c r="I525" s="33">
        <f t="shared" si="33"/>
        <v>0</v>
      </c>
      <c r="J525" s="34"/>
    </row>
    <row r="526" spans="1:10" x14ac:dyDescent="0.25">
      <c r="A526" s="41" t="s">
        <v>1029</v>
      </c>
      <c r="B526" s="28">
        <v>5000007708</v>
      </c>
      <c r="C526" s="42" t="s">
        <v>1030</v>
      </c>
      <c r="D526" s="30" t="s">
        <v>120</v>
      </c>
      <c r="E526" s="31"/>
      <c r="F526" s="32">
        <v>14.68</v>
      </c>
      <c r="G526" s="33">
        <f t="shared" si="32"/>
        <v>0</v>
      </c>
      <c r="H526" s="33">
        <f>ROUND('[1]RESUMO DA PROPOSTA'!$C$19*F526,2)</f>
        <v>27.89</v>
      </c>
      <c r="I526" s="33">
        <f t="shared" si="33"/>
        <v>0</v>
      </c>
      <c r="J526" s="34"/>
    </row>
    <row r="527" spans="1:10" x14ac:dyDescent="0.25">
      <c r="A527" s="41" t="s">
        <v>1031</v>
      </c>
      <c r="B527" s="28">
        <v>5000011273</v>
      </c>
      <c r="C527" s="42" t="s">
        <v>1032</v>
      </c>
      <c r="D527" s="30" t="s">
        <v>29</v>
      </c>
      <c r="E527" s="31"/>
      <c r="F527" s="32">
        <v>174.26</v>
      </c>
      <c r="G527" s="33">
        <f t="shared" si="32"/>
        <v>0</v>
      </c>
      <c r="H527" s="33">
        <f>ROUND('[1]RESUMO DA PROPOSTA'!$C$19*F527,2)</f>
        <v>331.09</v>
      </c>
      <c r="I527" s="33">
        <f t="shared" si="33"/>
        <v>0</v>
      </c>
      <c r="J527" s="34"/>
    </row>
    <row r="528" spans="1:10" x14ac:dyDescent="0.25">
      <c r="A528" s="41" t="s">
        <v>1033</v>
      </c>
      <c r="B528" s="28">
        <v>5000011274</v>
      </c>
      <c r="C528" s="42" t="s">
        <v>1034</v>
      </c>
      <c r="D528" s="30" t="s">
        <v>29</v>
      </c>
      <c r="E528" s="31"/>
      <c r="F528" s="32">
        <v>515.4799999999999</v>
      </c>
      <c r="G528" s="33">
        <f t="shared" si="32"/>
        <v>0</v>
      </c>
      <c r="H528" s="33">
        <f>ROUND('[1]RESUMO DA PROPOSTA'!$C$19*F528,2)</f>
        <v>979.41</v>
      </c>
      <c r="I528" s="33">
        <f t="shared" si="33"/>
        <v>0</v>
      </c>
      <c r="J528" s="34"/>
    </row>
    <row r="529" spans="1:10" x14ac:dyDescent="0.25">
      <c r="A529" s="41" t="s">
        <v>1035</v>
      </c>
      <c r="B529" s="28">
        <v>5000011275</v>
      </c>
      <c r="C529" s="42" t="s">
        <v>1036</v>
      </c>
      <c r="D529" s="30" t="s">
        <v>120</v>
      </c>
      <c r="E529" s="31"/>
      <c r="F529" s="32">
        <v>11.68</v>
      </c>
      <c r="G529" s="33">
        <f t="shared" si="32"/>
        <v>0</v>
      </c>
      <c r="H529" s="33">
        <f>ROUND('[1]RESUMO DA PROPOSTA'!$C$19*F529,2)</f>
        <v>22.19</v>
      </c>
      <c r="I529" s="33">
        <f t="shared" si="33"/>
        <v>0</v>
      </c>
      <c r="J529" s="34"/>
    </row>
    <row r="530" spans="1:10" x14ac:dyDescent="0.25">
      <c r="A530" s="41" t="s">
        <v>1037</v>
      </c>
      <c r="B530" s="28">
        <v>5000011276</v>
      </c>
      <c r="C530" s="42" t="s">
        <v>1038</v>
      </c>
      <c r="D530" s="30" t="s">
        <v>29</v>
      </c>
      <c r="E530" s="31"/>
      <c r="F530" s="32">
        <v>174.26</v>
      </c>
      <c r="G530" s="33">
        <f t="shared" si="32"/>
        <v>0</v>
      </c>
      <c r="H530" s="33">
        <f>ROUND('[1]RESUMO DA PROPOSTA'!$C$19*F530,2)</f>
        <v>331.09</v>
      </c>
      <c r="I530" s="33">
        <f t="shared" si="33"/>
        <v>0</v>
      </c>
      <c r="J530" s="34"/>
    </row>
    <row r="531" spans="1:10" x14ac:dyDescent="0.25">
      <c r="A531" s="41" t="s">
        <v>1039</v>
      </c>
      <c r="B531" s="28">
        <v>5000011277</v>
      </c>
      <c r="C531" s="42" t="s">
        <v>1040</v>
      </c>
      <c r="D531" s="30" t="s">
        <v>29</v>
      </c>
      <c r="E531" s="31"/>
      <c r="F531" s="32">
        <v>174.26</v>
      </c>
      <c r="G531" s="33">
        <f t="shared" si="32"/>
        <v>0</v>
      </c>
      <c r="H531" s="33">
        <f>ROUND('[1]RESUMO DA PROPOSTA'!$C$19*F531,2)</f>
        <v>331.09</v>
      </c>
      <c r="I531" s="33">
        <f t="shared" si="33"/>
        <v>0</v>
      </c>
      <c r="J531" s="34"/>
    </row>
    <row r="532" spans="1:10" x14ac:dyDescent="0.25">
      <c r="A532" s="41" t="s">
        <v>1041</v>
      </c>
      <c r="B532" s="28">
        <v>5000011278</v>
      </c>
      <c r="C532" s="42" t="s">
        <v>1042</v>
      </c>
      <c r="D532" s="30" t="s">
        <v>29</v>
      </c>
      <c r="E532" s="31"/>
      <c r="F532" s="32">
        <v>174.26</v>
      </c>
      <c r="G532" s="33">
        <f t="shared" si="32"/>
        <v>0</v>
      </c>
      <c r="H532" s="33">
        <f>ROUND('[1]RESUMO DA PROPOSTA'!$C$19*F532,2)</f>
        <v>331.09</v>
      </c>
      <c r="I532" s="33">
        <f t="shared" si="33"/>
        <v>0</v>
      </c>
      <c r="J532" s="34"/>
    </row>
    <row r="533" spans="1:10" x14ac:dyDescent="0.25">
      <c r="A533" s="67" t="s">
        <v>1043</v>
      </c>
      <c r="B533" s="68"/>
      <c r="C533" s="69" t="s">
        <v>1044</v>
      </c>
      <c r="D533" s="70"/>
      <c r="E533" s="71"/>
      <c r="F533" s="72" t="s">
        <v>17</v>
      </c>
      <c r="G533" s="73">
        <f>SUBTOTAL(9,G534:G576)</f>
        <v>0</v>
      </c>
      <c r="H533" s="72" t="s">
        <v>17</v>
      </c>
      <c r="I533" s="73">
        <f>SUBTOTAL(9,I534:I576)</f>
        <v>0</v>
      </c>
      <c r="J533" s="74"/>
    </row>
    <row r="534" spans="1:10" x14ac:dyDescent="0.25">
      <c r="A534" s="75" t="s">
        <v>1045</v>
      </c>
      <c r="B534" s="76"/>
      <c r="C534" s="77" t="s">
        <v>1046</v>
      </c>
      <c r="D534" s="78"/>
      <c r="E534" s="79"/>
      <c r="F534" s="80" t="s">
        <v>17</v>
      </c>
      <c r="G534" s="81">
        <f>SUBTOTAL(9,G535:G544)</f>
        <v>0</v>
      </c>
      <c r="H534" s="80" t="s">
        <v>17</v>
      </c>
      <c r="I534" s="81">
        <f>SUBTOTAL(9,I535:I544)</f>
        <v>0</v>
      </c>
      <c r="J534" s="82"/>
    </row>
    <row r="535" spans="1:10" x14ac:dyDescent="0.25">
      <c r="A535" s="41" t="s">
        <v>1047</v>
      </c>
      <c r="B535" s="28">
        <v>5000011279</v>
      </c>
      <c r="C535" s="42" t="s">
        <v>1048</v>
      </c>
      <c r="D535" s="30" t="s">
        <v>29</v>
      </c>
      <c r="E535" s="31"/>
      <c r="F535" s="32">
        <v>29.26</v>
      </c>
      <c r="G535" s="33">
        <f t="shared" ref="G535:G544" si="34">ROUND(E535*F535,2)</f>
        <v>0</v>
      </c>
      <c r="H535" s="33">
        <f>ROUND('[1]RESUMO DA PROPOSTA'!$C$19*F535,2)</f>
        <v>55.59</v>
      </c>
      <c r="I535" s="33">
        <f t="shared" ref="I535:I544" si="35">ROUND(E535*H535,2)</f>
        <v>0</v>
      </c>
      <c r="J535" s="34"/>
    </row>
    <row r="536" spans="1:10" x14ac:dyDescent="0.25">
      <c r="A536" s="41" t="s">
        <v>1049</v>
      </c>
      <c r="B536" s="28">
        <v>5000011280</v>
      </c>
      <c r="C536" s="42" t="s">
        <v>1050</v>
      </c>
      <c r="D536" s="30" t="s">
        <v>29</v>
      </c>
      <c r="E536" s="31"/>
      <c r="F536" s="32">
        <v>1990.26</v>
      </c>
      <c r="G536" s="33">
        <f t="shared" si="34"/>
        <v>0</v>
      </c>
      <c r="H536" s="33">
        <f>ROUND('[1]RESUMO DA PROPOSTA'!$C$19*F536,2)</f>
        <v>3781.49</v>
      </c>
      <c r="I536" s="33">
        <f t="shared" si="35"/>
        <v>0</v>
      </c>
      <c r="J536" s="34"/>
    </row>
    <row r="537" spans="1:10" x14ac:dyDescent="0.25">
      <c r="A537" s="41" t="s">
        <v>1051</v>
      </c>
      <c r="B537" s="28">
        <v>5000011281</v>
      </c>
      <c r="C537" s="42" t="s">
        <v>1052</v>
      </c>
      <c r="D537" s="30" t="s">
        <v>29</v>
      </c>
      <c r="E537" s="31"/>
      <c r="F537" s="32">
        <v>3943.82</v>
      </c>
      <c r="G537" s="33">
        <f t="shared" si="34"/>
        <v>0</v>
      </c>
      <c r="H537" s="33">
        <f>ROUND('[1]RESUMO DA PROPOSTA'!$C$19*F537,2)</f>
        <v>7493.26</v>
      </c>
      <c r="I537" s="33">
        <f t="shared" si="35"/>
        <v>0</v>
      </c>
      <c r="J537" s="34"/>
    </row>
    <row r="538" spans="1:10" x14ac:dyDescent="0.25">
      <c r="A538" s="41" t="s">
        <v>1053</v>
      </c>
      <c r="B538" s="28">
        <v>5000011282</v>
      </c>
      <c r="C538" s="42" t="s">
        <v>1054</v>
      </c>
      <c r="D538" s="30" t="s">
        <v>29</v>
      </c>
      <c r="E538" s="31"/>
      <c r="F538" s="32">
        <v>2542.65</v>
      </c>
      <c r="G538" s="33">
        <f t="shared" si="34"/>
        <v>0</v>
      </c>
      <c r="H538" s="33">
        <f>ROUND('[1]RESUMO DA PROPOSTA'!$C$19*F538,2)</f>
        <v>4831.04</v>
      </c>
      <c r="I538" s="33">
        <f t="shared" si="35"/>
        <v>0</v>
      </c>
      <c r="J538" s="34"/>
    </row>
    <row r="539" spans="1:10" x14ac:dyDescent="0.25">
      <c r="A539" s="41" t="s">
        <v>1055</v>
      </c>
      <c r="B539" s="28">
        <v>5000011283</v>
      </c>
      <c r="C539" s="42" t="s">
        <v>1056</v>
      </c>
      <c r="D539" s="30" t="s">
        <v>29</v>
      </c>
      <c r="E539" s="31"/>
      <c r="F539" s="32">
        <v>2542.65</v>
      </c>
      <c r="G539" s="33">
        <f t="shared" si="34"/>
        <v>0</v>
      </c>
      <c r="H539" s="33">
        <f>ROUND('[1]RESUMO DA PROPOSTA'!$C$19*F539,2)</f>
        <v>4831.04</v>
      </c>
      <c r="I539" s="33">
        <f t="shared" si="35"/>
        <v>0</v>
      </c>
      <c r="J539" s="34"/>
    </row>
    <row r="540" spans="1:10" x14ac:dyDescent="0.25">
      <c r="A540" s="41" t="s">
        <v>1057</v>
      </c>
      <c r="B540" s="28">
        <v>5000011284</v>
      </c>
      <c r="C540" s="42" t="s">
        <v>1058</v>
      </c>
      <c r="D540" s="30" t="s">
        <v>29</v>
      </c>
      <c r="E540" s="31"/>
      <c r="F540" s="32">
        <v>12.1</v>
      </c>
      <c r="G540" s="33">
        <f t="shared" si="34"/>
        <v>0</v>
      </c>
      <c r="H540" s="33">
        <f>ROUND('[1]RESUMO DA PROPOSTA'!$C$19*F540,2)</f>
        <v>22.99</v>
      </c>
      <c r="I540" s="33">
        <f t="shared" si="35"/>
        <v>0</v>
      </c>
      <c r="J540" s="34"/>
    </row>
    <row r="541" spans="1:10" x14ac:dyDescent="0.25">
      <c r="A541" s="41" t="s">
        <v>1059</v>
      </c>
      <c r="B541" s="28">
        <v>5000011285</v>
      </c>
      <c r="C541" s="42" t="s">
        <v>1060</v>
      </c>
      <c r="D541" s="30" t="s">
        <v>29</v>
      </c>
      <c r="E541" s="31"/>
      <c r="F541" s="32">
        <v>1681.38</v>
      </c>
      <c r="G541" s="33">
        <f t="shared" si="34"/>
        <v>0</v>
      </c>
      <c r="H541" s="33">
        <f>ROUND('[1]RESUMO DA PROPOSTA'!$C$19*F541,2)</f>
        <v>3194.62</v>
      </c>
      <c r="I541" s="33">
        <f t="shared" si="35"/>
        <v>0</v>
      </c>
      <c r="J541" s="34"/>
    </row>
    <row r="542" spans="1:10" x14ac:dyDescent="0.25">
      <c r="A542" s="41" t="s">
        <v>1061</v>
      </c>
      <c r="B542" s="28">
        <v>5000011286</v>
      </c>
      <c r="C542" s="42" t="s">
        <v>1062</v>
      </c>
      <c r="D542" s="30" t="s">
        <v>120</v>
      </c>
      <c r="E542" s="31"/>
      <c r="F542" s="32">
        <v>78.790000000000006</v>
      </c>
      <c r="G542" s="33">
        <f t="shared" si="34"/>
        <v>0</v>
      </c>
      <c r="H542" s="33">
        <f>ROUND('[1]RESUMO DA PROPOSTA'!$C$19*F542,2)</f>
        <v>149.69999999999999</v>
      </c>
      <c r="I542" s="33">
        <f t="shared" si="35"/>
        <v>0</v>
      </c>
      <c r="J542" s="34"/>
    </row>
    <row r="543" spans="1:10" x14ac:dyDescent="0.25">
      <c r="A543" s="41" t="s">
        <v>1063</v>
      </c>
      <c r="B543" s="28">
        <v>5000011287</v>
      </c>
      <c r="C543" s="42" t="s">
        <v>1064</v>
      </c>
      <c r="D543" s="30" t="s">
        <v>120</v>
      </c>
      <c r="E543" s="31"/>
      <c r="F543" s="32">
        <v>49.84</v>
      </c>
      <c r="G543" s="33">
        <f t="shared" si="34"/>
        <v>0</v>
      </c>
      <c r="H543" s="33">
        <f>ROUND('[1]RESUMO DA PROPOSTA'!$C$19*F543,2)</f>
        <v>94.7</v>
      </c>
      <c r="I543" s="33">
        <f t="shared" si="35"/>
        <v>0</v>
      </c>
      <c r="J543" s="34"/>
    </row>
    <row r="544" spans="1:10" x14ac:dyDescent="0.25">
      <c r="A544" s="41" t="s">
        <v>1065</v>
      </c>
      <c r="B544" s="28">
        <v>5000011288</v>
      </c>
      <c r="C544" s="42" t="s">
        <v>1066</v>
      </c>
      <c r="D544" s="30" t="s">
        <v>120</v>
      </c>
      <c r="E544" s="31"/>
      <c r="F544" s="32">
        <v>67.19</v>
      </c>
      <c r="G544" s="33">
        <f t="shared" si="34"/>
        <v>0</v>
      </c>
      <c r="H544" s="33">
        <f>ROUND('[1]RESUMO DA PROPOSTA'!$C$19*F544,2)</f>
        <v>127.66</v>
      </c>
      <c r="I544" s="33">
        <f t="shared" si="35"/>
        <v>0</v>
      </c>
      <c r="J544" s="34"/>
    </row>
    <row r="545" spans="1:10" x14ac:dyDescent="0.25">
      <c r="A545" s="75" t="s">
        <v>1067</v>
      </c>
      <c r="B545" s="76"/>
      <c r="C545" s="77" t="s">
        <v>1068</v>
      </c>
      <c r="D545" s="78"/>
      <c r="E545" s="79"/>
      <c r="F545" s="80" t="s">
        <v>17</v>
      </c>
      <c r="G545" s="81">
        <f>SUBTOTAL(9,G546:G563)</f>
        <v>0</v>
      </c>
      <c r="H545" s="80" t="s">
        <v>17</v>
      </c>
      <c r="I545" s="81">
        <f>SUBTOTAL(9,I546:I563)</f>
        <v>0</v>
      </c>
      <c r="J545" s="82"/>
    </row>
    <row r="546" spans="1:10" x14ac:dyDescent="0.25">
      <c r="A546" s="41" t="s">
        <v>1069</v>
      </c>
      <c r="B546" s="28">
        <v>3000016131</v>
      </c>
      <c r="C546" s="42" t="s">
        <v>1070</v>
      </c>
      <c r="D546" s="30" t="s">
        <v>29</v>
      </c>
      <c r="E546" s="31"/>
      <c r="F546" s="32">
        <v>3941</v>
      </c>
      <c r="G546" s="33">
        <f t="shared" ref="G546:G563" si="36">ROUND(E546*F546,2)</f>
        <v>0</v>
      </c>
      <c r="H546" s="33">
        <f>ROUND('[1]RESUMO DA PROPOSTA'!$C$19*F546,2)</f>
        <v>7487.9</v>
      </c>
      <c r="I546" s="33">
        <f t="shared" ref="I546:I563" si="37">ROUND(E546*H546,2)</f>
        <v>0</v>
      </c>
      <c r="J546" s="34"/>
    </row>
    <row r="547" spans="1:10" x14ac:dyDescent="0.25">
      <c r="A547" s="41" t="s">
        <v>1071</v>
      </c>
      <c r="B547" s="28">
        <v>3000017744</v>
      </c>
      <c r="C547" s="42" t="s">
        <v>1072</v>
      </c>
      <c r="D547" s="30" t="s">
        <v>29</v>
      </c>
      <c r="E547" s="31"/>
      <c r="F547" s="32">
        <v>3401.59</v>
      </c>
      <c r="G547" s="33">
        <f t="shared" si="36"/>
        <v>0</v>
      </c>
      <c r="H547" s="33">
        <f>ROUND('[1]RESUMO DA PROPOSTA'!$C$19*F547,2)</f>
        <v>6463.02</v>
      </c>
      <c r="I547" s="33">
        <f t="shared" si="37"/>
        <v>0</v>
      </c>
      <c r="J547" s="34"/>
    </row>
    <row r="548" spans="1:10" x14ac:dyDescent="0.25">
      <c r="A548" s="41" t="s">
        <v>1073</v>
      </c>
      <c r="B548" s="28">
        <v>5000007577</v>
      </c>
      <c r="C548" s="42" t="s">
        <v>1074</v>
      </c>
      <c r="D548" s="30" t="s">
        <v>29</v>
      </c>
      <c r="E548" s="31"/>
      <c r="F548" s="32">
        <v>13551.26</v>
      </c>
      <c r="G548" s="33">
        <f t="shared" si="36"/>
        <v>0</v>
      </c>
      <c r="H548" s="33">
        <f>ROUND('[1]RESUMO DA PROPOSTA'!$C$19*F548,2)</f>
        <v>25747.39</v>
      </c>
      <c r="I548" s="33">
        <f t="shared" si="37"/>
        <v>0</v>
      </c>
      <c r="J548" s="34"/>
    </row>
    <row r="549" spans="1:10" ht="25.5" x14ac:dyDescent="0.25">
      <c r="A549" s="41" t="s">
        <v>1075</v>
      </c>
      <c r="B549" s="28">
        <v>5000007587</v>
      </c>
      <c r="C549" s="42" t="s">
        <v>1076</v>
      </c>
      <c r="D549" s="30" t="s">
        <v>29</v>
      </c>
      <c r="E549" s="31"/>
      <c r="F549" s="32">
        <v>27090.31</v>
      </c>
      <c r="G549" s="33">
        <f t="shared" si="36"/>
        <v>0</v>
      </c>
      <c r="H549" s="33">
        <f>ROUND('[1]RESUMO DA PROPOSTA'!$C$19*F549,2)</f>
        <v>51471.59</v>
      </c>
      <c r="I549" s="33">
        <f t="shared" si="37"/>
        <v>0</v>
      </c>
      <c r="J549" s="34"/>
    </row>
    <row r="550" spans="1:10" ht="25.5" x14ac:dyDescent="0.25">
      <c r="A550" s="41" t="s">
        <v>1077</v>
      </c>
      <c r="B550" s="28">
        <v>5000007589</v>
      </c>
      <c r="C550" s="42" t="s">
        <v>1078</v>
      </c>
      <c r="D550" s="30" t="s">
        <v>29</v>
      </c>
      <c r="E550" s="31"/>
      <c r="F550" s="32">
        <v>22914.93</v>
      </c>
      <c r="G550" s="33">
        <f t="shared" si="36"/>
        <v>0</v>
      </c>
      <c r="H550" s="33">
        <f>ROUND('[1]RESUMO DA PROPOSTA'!$C$19*F550,2)</f>
        <v>43538.37</v>
      </c>
      <c r="I550" s="33">
        <f t="shared" si="37"/>
        <v>0</v>
      </c>
      <c r="J550" s="34"/>
    </row>
    <row r="551" spans="1:10" x14ac:dyDescent="0.25">
      <c r="A551" s="41" t="s">
        <v>1079</v>
      </c>
      <c r="B551" s="28">
        <v>5000007601</v>
      </c>
      <c r="C551" s="42" t="s">
        <v>1080</v>
      </c>
      <c r="D551" s="30" t="s">
        <v>29</v>
      </c>
      <c r="E551" s="31"/>
      <c r="F551" s="32">
        <v>8964.06</v>
      </c>
      <c r="G551" s="33">
        <f t="shared" si="36"/>
        <v>0</v>
      </c>
      <c r="H551" s="33">
        <f>ROUND('[1]RESUMO DA PROPOSTA'!$C$19*F551,2)</f>
        <v>17031.71</v>
      </c>
      <c r="I551" s="33">
        <f t="shared" si="37"/>
        <v>0</v>
      </c>
      <c r="J551" s="34"/>
    </row>
    <row r="552" spans="1:10" x14ac:dyDescent="0.25">
      <c r="A552" s="41" t="s">
        <v>1081</v>
      </c>
      <c r="B552" s="28">
        <v>5000007659</v>
      </c>
      <c r="C552" s="42" t="s">
        <v>1082</v>
      </c>
      <c r="D552" s="30" t="s">
        <v>29</v>
      </c>
      <c r="E552" s="31"/>
      <c r="F552" s="32">
        <v>5940.67</v>
      </c>
      <c r="G552" s="33">
        <f t="shared" si="36"/>
        <v>0</v>
      </c>
      <c r="H552" s="33">
        <f>ROUND('[1]RESUMO DA PROPOSTA'!$C$19*F552,2)</f>
        <v>11287.27</v>
      </c>
      <c r="I552" s="33">
        <f t="shared" si="37"/>
        <v>0</v>
      </c>
      <c r="J552" s="34"/>
    </row>
    <row r="553" spans="1:10" x14ac:dyDescent="0.25">
      <c r="A553" s="41" t="s">
        <v>1083</v>
      </c>
      <c r="B553" s="28">
        <v>5000007665</v>
      </c>
      <c r="C553" s="42" t="s">
        <v>1084</v>
      </c>
      <c r="D553" s="30" t="s">
        <v>29</v>
      </c>
      <c r="E553" s="31"/>
      <c r="F553" s="32">
        <v>9042.3700000000008</v>
      </c>
      <c r="G553" s="33">
        <f t="shared" si="36"/>
        <v>0</v>
      </c>
      <c r="H553" s="33">
        <f>ROUND('[1]RESUMO DA PROPOSTA'!$C$19*F553,2)</f>
        <v>17180.5</v>
      </c>
      <c r="I553" s="33">
        <f t="shared" si="37"/>
        <v>0</v>
      </c>
      <c r="J553" s="34"/>
    </row>
    <row r="554" spans="1:10" x14ac:dyDescent="0.25">
      <c r="A554" s="41" t="s">
        <v>1085</v>
      </c>
      <c r="B554" s="28">
        <v>5000007666</v>
      </c>
      <c r="C554" s="42" t="s">
        <v>1086</v>
      </c>
      <c r="D554" s="30" t="s">
        <v>29</v>
      </c>
      <c r="E554" s="31"/>
      <c r="F554" s="32">
        <v>2307.31</v>
      </c>
      <c r="G554" s="33">
        <f t="shared" si="36"/>
        <v>0</v>
      </c>
      <c r="H554" s="33">
        <f>ROUND('[1]RESUMO DA PROPOSTA'!$C$19*F554,2)</f>
        <v>4383.8900000000003</v>
      </c>
      <c r="I554" s="33">
        <f t="shared" si="37"/>
        <v>0</v>
      </c>
      <c r="J554" s="34"/>
    </row>
    <row r="555" spans="1:10" x14ac:dyDescent="0.25">
      <c r="A555" s="41" t="s">
        <v>1087</v>
      </c>
      <c r="B555" s="28">
        <v>5000007667</v>
      </c>
      <c r="C555" s="42" t="s">
        <v>1088</v>
      </c>
      <c r="D555" s="30" t="s">
        <v>29</v>
      </c>
      <c r="E555" s="31"/>
      <c r="F555" s="32">
        <v>1954.39</v>
      </c>
      <c r="G555" s="33">
        <f t="shared" si="36"/>
        <v>0</v>
      </c>
      <c r="H555" s="33">
        <f>ROUND('[1]RESUMO DA PROPOSTA'!$C$19*F555,2)</f>
        <v>3713.34</v>
      </c>
      <c r="I555" s="33">
        <f t="shared" si="37"/>
        <v>0</v>
      </c>
      <c r="J555" s="34"/>
    </row>
    <row r="556" spans="1:10" x14ac:dyDescent="0.25">
      <c r="A556" s="41" t="s">
        <v>1089</v>
      </c>
      <c r="B556" s="28">
        <v>5000007680</v>
      </c>
      <c r="C556" s="42" t="s">
        <v>1090</v>
      </c>
      <c r="D556" s="30" t="s">
        <v>29</v>
      </c>
      <c r="E556" s="31"/>
      <c r="F556" s="32">
        <v>4602.84</v>
      </c>
      <c r="G556" s="33">
        <f t="shared" si="36"/>
        <v>0</v>
      </c>
      <c r="H556" s="33">
        <f>ROUND('[1]RESUMO DA PROPOSTA'!$C$19*F556,2)</f>
        <v>8745.4</v>
      </c>
      <c r="I556" s="33">
        <f t="shared" si="37"/>
        <v>0</v>
      </c>
      <c r="J556" s="34"/>
    </row>
    <row r="557" spans="1:10" x14ac:dyDescent="0.25">
      <c r="A557" s="41" t="s">
        <v>1091</v>
      </c>
      <c r="B557" s="28">
        <v>5000007684</v>
      </c>
      <c r="C557" s="42" t="s">
        <v>1092</v>
      </c>
      <c r="D557" s="30" t="s">
        <v>29</v>
      </c>
      <c r="E557" s="31"/>
      <c r="F557" s="32">
        <v>3943.82</v>
      </c>
      <c r="G557" s="33">
        <f t="shared" si="36"/>
        <v>0</v>
      </c>
      <c r="H557" s="33">
        <f>ROUND('[1]RESUMO DA PROPOSTA'!$C$19*F557,2)</f>
        <v>7493.26</v>
      </c>
      <c r="I557" s="33">
        <f t="shared" si="37"/>
        <v>0</v>
      </c>
      <c r="J557" s="34"/>
    </row>
    <row r="558" spans="1:10" x14ac:dyDescent="0.25">
      <c r="A558" s="41" t="s">
        <v>1093</v>
      </c>
      <c r="B558" s="28">
        <v>5000007696</v>
      </c>
      <c r="C558" s="42" t="s">
        <v>1094</v>
      </c>
      <c r="D558" s="30" t="s">
        <v>1095</v>
      </c>
      <c r="E558" s="31"/>
      <c r="F558" s="32">
        <v>4.2699999999999996</v>
      </c>
      <c r="G558" s="33">
        <f t="shared" si="36"/>
        <v>0</v>
      </c>
      <c r="H558" s="33">
        <f>ROUND('[1]RESUMO DA PROPOSTA'!$C$19*F558,2)</f>
        <v>8.11</v>
      </c>
      <c r="I558" s="33">
        <f t="shared" si="37"/>
        <v>0</v>
      </c>
      <c r="J558" s="34"/>
    </row>
    <row r="559" spans="1:10" x14ac:dyDescent="0.25">
      <c r="A559" s="41" t="s">
        <v>1096</v>
      </c>
      <c r="B559" s="28">
        <v>5000011289</v>
      </c>
      <c r="C559" s="42" t="s">
        <v>1097</v>
      </c>
      <c r="D559" s="30" t="s">
        <v>29</v>
      </c>
      <c r="E559" s="31"/>
      <c r="F559" s="32">
        <v>24722.1708</v>
      </c>
      <c r="G559" s="33">
        <f t="shared" si="36"/>
        <v>0</v>
      </c>
      <c r="H559" s="33">
        <f>ROUND('[1]RESUMO DA PROPOSTA'!$C$19*F559,2)</f>
        <v>46972.12</v>
      </c>
      <c r="I559" s="33">
        <f t="shared" si="37"/>
        <v>0</v>
      </c>
      <c r="J559" s="34"/>
    </row>
    <row r="560" spans="1:10" x14ac:dyDescent="0.25">
      <c r="A560" s="41" t="s">
        <v>1098</v>
      </c>
      <c r="B560" s="28">
        <v>5000011290</v>
      </c>
      <c r="C560" s="42" t="s">
        <v>1099</v>
      </c>
      <c r="D560" s="30" t="s">
        <v>29</v>
      </c>
      <c r="E560" s="31"/>
      <c r="F560" s="32">
        <v>20743.179</v>
      </c>
      <c r="G560" s="33">
        <f t="shared" si="36"/>
        <v>0</v>
      </c>
      <c r="H560" s="33">
        <f>ROUND('[1]RESUMO DA PROPOSTA'!$C$19*F560,2)</f>
        <v>39412.04</v>
      </c>
      <c r="I560" s="33">
        <f t="shared" si="37"/>
        <v>0</v>
      </c>
      <c r="J560" s="34"/>
    </row>
    <row r="561" spans="1:10" x14ac:dyDescent="0.25">
      <c r="A561" s="41" t="s">
        <v>1100</v>
      </c>
      <c r="B561" s="28">
        <v>5000011291</v>
      </c>
      <c r="C561" s="42" t="s">
        <v>1101</v>
      </c>
      <c r="D561" s="30" t="s">
        <v>29</v>
      </c>
      <c r="E561" s="31"/>
      <c r="F561" s="32">
        <v>5000.1050000000005</v>
      </c>
      <c r="G561" s="33">
        <f t="shared" si="36"/>
        <v>0</v>
      </c>
      <c r="H561" s="33">
        <f>ROUND('[1]RESUMO DA PROPOSTA'!$C$19*F561,2)</f>
        <v>9500.2000000000007</v>
      </c>
      <c r="I561" s="33">
        <f t="shared" si="37"/>
        <v>0</v>
      </c>
      <c r="J561" s="34"/>
    </row>
    <row r="562" spans="1:10" x14ac:dyDescent="0.25">
      <c r="A562" s="41" t="s">
        <v>1102</v>
      </c>
      <c r="B562" s="28">
        <v>5000011457</v>
      </c>
      <c r="C562" s="42" t="s">
        <v>1103</v>
      </c>
      <c r="D562" s="30" t="s">
        <v>29</v>
      </c>
      <c r="E562" s="31"/>
      <c r="F562" s="32">
        <v>27777.72</v>
      </c>
      <c r="G562" s="33">
        <f t="shared" si="36"/>
        <v>0</v>
      </c>
      <c r="H562" s="33">
        <f>ROUND('[1]RESUMO DA PROPOSTA'!$C$19*F562,2)</f>
        <v>52777.67</v>
      </c>
      <c r="I562" s="33">
        <f t="shared" si="37"/>
        <v>0</v>
      </c>
      <c r="J562" s="34"/>
    </row>
    <row r="563" spans="1:10" x14ac:dyDescent="0.25">
      <c r="A563" s="41" t="s">
        <v>1104</v>
      </c>
      <c r="B563" s="28">
        <v>5000011458</v>
      </c>
      <c r="C563" s="42" t="s">
        <v>1105</v>
      </c>
      <c r="D563" s="30" t="s">
        <v>29</v>
      </c>
      <c r="E563" s="31"/>
      <c r="F563" s="32">
        <v>27777.72</v>
      </c>
      <c r="G563" s="33">
        <f t="shared" si="36"/>
        <v>0</v>
      </c>
      <c r="H563" s="33">
        <f>ROUND('[1]RESUMO DA PROPOSTA'!$C$19*F563,2)</f>
        <v>52777.67</v>
      </c>
      <c r="I563" s="33">
        <f t="shared" si="37"/>
        <v>0</v>
      </c>
      <c r="J563" s="34"/>
    </row>
    <row r="564" spans="1:10" x14ac:dyDescent="0.25">
      <c r="A564" s="75" t="s">
        <v>1106</v>
      </c>
      <c r="B564" s="76"/>
      <c r="C564" s="77" t="s">
        <v>1107</v>
      </c>
      <c r="D564" s="78"/>
      <c r="E564" s="79"/>
      <c r="F564" s="80" t="s">
        <v>17</v>
      </c>
      <c r="G564" s="81">
        <f>SUBTOTAL(9,G565:G576)</f>
        <v>0</v>
      </c>
      <c r="H564" s="80" t="s">
        <v>17</v>
      </c>
      <c r="I564" s="81">
        <f>SUBTOTAL(9,I565:I576)</f>
        <v>0</v>
      </c>
      <c r="J564" s="82"/>
    </row>
    <row r="565" spans="1:10" ht="25.5" x14ac:dyDescent="0.25">
      <c r="A565" s="51" t="s">
        <v>1108</v>
      </c>
      <c r="B565" s="28">
        <v>3000016110</v>
      </c>
      <c r="C565" s="42" t="s">
        <v>1109</v>
      </c>
      <c r="D565" s="30" t="s">
        <v>29</v>
      </c>
      <c r="E565" s="31"/>
      <c r="F565" s="32">
        <v>1639.5680000000002</v>
      </c>
      <c r="G565" s="33">
        <f t="shared" ref="G565:G576" si="38">ROUND(E565*F565,2)</f>
        <v>0</v>
      </c>
      <c r="H565" s="33">
        <f>ROUND('[1]RESUMO DA PROPOSTA'!$C$19*F565,2)</f>
        <v>3115.18</v>
      </c>
      <c r="I565" s="33">
        <f t="shared" ref="I565:I576" si="39">ROUND(E565*H565,2)</f>
        <v>0</v>
      </c>
      <c r="J565" s="34"/>
    </row>
    <row r="566" spans="1:10" x14ac:dyDescent="0.25">
      <c r="A566" s="51" t="s">
        <v>1110</v>
      </c>
      <c r="B566" s="28">
        <v>3000016117</v>
      </c>
      <c r="C566" s="42" t="s">
        <v>1111</v>
      </c>
      <c r="D566" s="30" t="s">
        <v>29</v>
      </c>
      <c r="E566" s="31"/>
      <c r="F566" s="32">
        <v>23152.57</v>
      </c>
      <c r="G566" s="33">
        <f t="shared" si="38"/>
        <v>0</v>
      </c>
      <c r="H566" s="33">
        <f>ROUND('[1]RESUMO DA PROPOSTA'!$C$19*F566,2)</f>
        <v>43989.88</v>
      </c>
      <c r="I566" s="33">
        <f t="shared" si="39"/>
        <v>0</v>
      </c>
      <c r="J566" s="34"/>
    </row>
    <row r="567" spans="1:10" ht="25.5" x14ac:dyDescent="0.25">
      <c r="A567" s="51" t="s">
        <v>1112</v>
      </c>
      <c r="B567" s="28">
        <v>3000016219</v>
      </c>
      <c r="C567" s="42" t="s">
        <v>1113</v>
      </c>
      <c r="D567" s="30" t="s">
        <v>29</v>
      </c>
      <c r="E567" s="31"/>
      <c r="F567" s="32">
        <v>241.77</v>
      </c>
      <c r="G567" s="33">
        <f t="shared" si="38"/>
        <v>0</v>
      </c>
      <c r="H567" s="33">
        <f>ROUND('[1]RESUMO DA PROPOSTA'!$C$19*F567,2)</f>
        <v>459.36</v>
      </c>
      <c r="I567" s="33">
        <f t="shared" si="39"/>
        <v>0</v>
      </c>
      <c r="J567" s="34"/>
    </row>
    <row r="568" spans="1:10" x14ac:dyDescent="0.25">
      <c r="A568" s="51" t="s">
        <v>1114</v>
      </c>
      <c r="B568" s="28">
        <v>3000016244</v>
      </c>
      <c r="C568" s="42" t="s">
        <v>1115</v>
      </c>
      <c r="D568" s="30" t="s">
        <v>29</v>
      </c>
      <c r="E568" s="31"/>
      <c r="F568" s="32">
        <v>1954.39</v>
      </c>
      <c r="G568" s="33">
        <f t="shared" si="38"/>
        <v>0</v>
      </c>
      <c r="H568" s="33">
        <f>ROUND('[1]RESUMO DA PROPOSTA'!$C$19*F568,2)</f>
        <v>3713.34</v>
      </c>
      <c r="I568" s="33">
        <f t="shared" si="39"/>
        <v>0</v>
      </c>
      <c r="J568" s="34"/>
    </row>
    <row r="569" spans="1:10" x14ac:dyDescent="0.25">
      <c r="A569" s="51" t="s">
        <v>1116</v>
      </c>
      <c r="B569" s="28">
        <v>3000016254</v>
      </c>
      <c r="C569" s="42" t="s">
        <v>1117</v>
      </c>
      <c r="D569" s="30" t="s">
        <v>29</v>
      </c>
      <c r="E569" s="31"/>
      <c r="F569" s="33">
        <v>2487.8249999999998</v>
      </c>
      <c r="G569" s="33">
        <f t="shared" si="38"/>
        <v>0</v>
      </c>
      <c r="H569" s="34">
        <f>ROUND('[1]RESUMO DA PROPOSTA'!$C$19*F569,2)</f>
        <v>4726.87</v>
      </c>
      <c r="I569" s="2">
        <f t="shared" si="39"/>
        <v>0</v>
      </c>
      <c r="J569" s="51"/>
    </row>
    <row r="570" spans="1:10" ht="25.5" x14ac:dyDescent="0.25">
      <c r="A570" s="51" t="s">
        <v>1118</v>
      </c>
      <c r="B570" s="28">
        <v>3000016261</v>
      </c>
      <c r="C570" s="42" t="s">
        <v>1119</v>
      </c>
      <c r="D570" s="30" t="s">
        <v>29</v>
      </c>
      <c r="E570" s="31"/>
      <c r="F570" s="32">
        <v>2119.96</v>
      </c>
      <c r="G570" s="33">
        <f t="shared" si="38"/>
        <v>0</v>
      </c>
      <c r="H570" s="33">
        <f>ROUND('[1]RESUMO DA PROPOSTA'!$C$19*F570,2)</f>
        <v>4027.92</v>
      </c>
      <c r="I570" s="33">
        <f t="shared" si="39"/>
        <v>0</v>
      </c>
      <c r="J570" s="34"/>
    </row>
    <row r="571" spans="1:10" x14ac:dyDescent="0.25">
      <c r="A571" s="51" t="s">
        <v>1120</v>
      </c>
      <c r="B571" s="28">
        <v>3000016275</v>
      </c>
      <c r="C571" s="42" t="s">
        <v>1121</v>
      </c>
      <c r="D571" s="30" t="s">
        <v>29</v>
      </c>
      <c r="E571" s="31"/>
      <c r="F571" s="32">
        <v>3782.54</v>
      </c>
      <c r="G571" s="33">
        <f t="shared" si="38"/>
        <v>0</v>
      </c>
      <c r="H571" s="33">
        <f>ROUND('[1]RESUMO DA PROPOSTA'!$C$19*F571,2)</f>
        <v>7186.83</v>
      </c>
      <c r="I571" s="33">
        <f t="shared" si="39"/>
        <v>0</v>
      </c>
      <c r="J571" s="34"/>
    </row>
    <row r="572" spans="1:10" ht="25.5" x14ac:dyDescent="0.25">
      <c r="A572" s="51" t="s">
        <v>1122</v>
      </c>
      <c r="B572" s="28">
        <v>3000016294</v>
      </c>
      <c r="C572" s="42" t="s">
        <v>1123</v>
      </c>
      <c r="D572" s="30" t="s">
        <v>29</v>
      </c>
      <c r="E572" s="31"/>
      <c r="F572" s="32">
        <v>1551.03</v>
      </c>
      <c r="G572" s="33">
        <f t="shared" si="38"/>
        <v>0</v>
      </c>
      <c r="H572" s="33">
        <f>ROUND('[1]RESUMO DA PROPOSTA'!$C$19*F572,2)</f>
        <v>2946.96</v>
      </c>
      <c r="I572" s="33">
        <f t="shared" si="39"/>
        <v>0</v>
      </c>
      <c r="J572" s="34"/>
    </row>
    <row r="573" spans="1:10" x14ac:dyDescent="0.25">
      <c r="A573" s="51" t="s">
        <v>1124</v>
      </c>
      <c r="B573" s="28">
        <v>5000007695</v>
      </c>
      <c r="C573" s="42" t="s">
        <v>1125</v>
      </c>
      <c r="D573" s="30" t="s">
        <v>29</v>
      </c>
      <c r="E573" s="31"/>
      <c r="F573" s="32">
        <v>2269.9299999999998</v>
      </c>
      <c r="G573" s="33">
        <f t="shared" si="38"/>
        <v>0</v>
      </c>
      <c r="H573" s="33">
        <f>ROUND('[1]RESUMO DA PROPOSTA'!$C$19*F573,2)</f>
        <v>4312.87</v>
      </c>
      <c r="I573" s="33">
        <f t="shared" si="39"/>
        <v>0</v>
      </c>
      <c r="J573" s="34"/>
    </row>
    <row r="574" spans="1:10" x14ac:dyDescent="0.25">
      <c r="A574" s="51" t="s">
        <v>1126</v>
      </c>
      <c r="B574" s="28">
        <v>5000011459</v>
      </c>
      <c r="C574" s="42" t="s">
        <v>1127</v>
      </c>
      <c r="D574" s="30" t="s">
        <v>29</v>
      </c>
      <c r="E574" s="31"/>
      <c r="F574" s="32">
        <v>13888.86</v>
      </c>
      <c r="G574" s="33">
        <f t="shared" si="38"/>
        <v>0</v>
      </c>
      <c r="H574" s="33">
        <f>ROUND('[1]RESUMO DA PROPOSTA'!$C$19*F574,2)</f>
        <v>26388.83</v>
      </c>
      <c r="I574" s="33">
        <f t="shared" si="39"/>
        <v>0</v>
      </c>
      <c r="J574" s="34"/>
    </row>
    <row r="575" spans="1:10" x14ac:dyDescent="0.25">
      <c r="A575" s="51" t="s">
        <v>1128</v>
      </c>
      <c r="B575" s="28">
        <v>3000017778</v>
      </c>
      <c r="C575" s="42" t="s">
        <v>1129</v>
      </c>
      <c r="D575" s="30" t="s">
        <v>29</v>
      </c>
      <c r="E575" s="31"/>
      <c r="F575" s="32">
        <v>13501.86</v>
      </c>
      <c r="G575" s="33">
        <f t="shared" si="38"/>
        <v>0</v>
      </c>
      <c r="H575" s="33">
        <f>ROUND('[1]RESUMO DA PROPOSTA'!$C$19*F575,2)</f>
        <v>25653.53</v>
      </c>
      <c r="I575" s="33">
        <f t="shared" si="39"/>
        <v>0</v>
      </c>
      <c r="J575" s="34"/>
    </row>
    <row r="576" spans="1:10" x14ac:dyDescent="0.25">
      <c r="A576" s="51" t="s">
        <v>1130</v>
      </c>
      <c r="B576" s="28">
        <v>3000017764</v>
      </c>
      <c r="C576" s="42" t="s">
        <v>1131</v>
      </c>
      <c r="D576" s="30" t="s">
        <v>29</v>
      </c>
      <c r="E576" s="31"/>
      <c r="F576" s="32">
        <v>12201.87</v>
      </c>
      <c r="G576" s="33">
        <f t="shared" si="38"/>
        <v>0</v>
      </c>
      <c r="H576" s="33">
        <f>ROUND('[1]RESUMO DA PROPOSTA'!$C$19*F576,2)</f>
        <v>23183.55</v>
      </c>
      <c r="I576" s="33">
        <f t="shared" si="39"/>
        <v>0</v>
      </c>
      <c r="J576" s="34"/>
    </row>
    <row r="577" spans="1:10" x14ac:dyDescent="0.25">
      <c r="A577" s="67" t="s">
        <v>1132</v>
      </c>
      <c r="B577" s="68"/>
      <c r="C577" s="69" t="s">
        <v>1133</v>
      </c>
      <c r="D577" s="70"/>
      <c r="E577" s="71"/>
      <c r="F577" s="72" t="s">
        <v>17</v>
      </c>
      <c r="G577" s="73">
        <f>SUBTOTAL(9,G578:G584)</f>
        <v>0</v>
      </c>
      <c r="H577" s="72" t="s">
        <v>17</v>
      </c>
      <c r="I577" s="73">
        <f>SUBTOTAL(9,I578:I584)</f>
        <v>0</v>
      </c>
      <c r="J577" s="74"/>
    </row>
    <row r="578" spans="1:10" x14ac:dyDescent="0.25">
      <c r="A578" s="75" t="s">
        <v>1134</v>
      </c>
      <c r="B578" s="76"/>
      <c r="C578" s="77" t="s">
        <v>1135</v>
      </c>
      <c r="D578" s="78"/>
      <c r="E578" s="79"/>
      <c r="F578" s="80" t="s">
        <v>17</v>
      </c>
      <c r="G578" s="81">
        <f>SUBTOTAL(9,G579:G581)</f>
        <v>0</v>
      </c>
      <c r="H578" s="80" t="s">
        <v>17</v>
      </c>
      <c r="I578" s="81">
        <f>SUBTOTAL(9,I579:I581)</f>
        <v>0</v>
      </c>
      <c r="J578" s="82"/>
    </row>
    <row r="579" spans="1:10" x14ac:dyDescent="0.25">
      <c r="A579" s="41" t="s">
        <v>1136</v>
      </c>
      <c r="B579" s="28">
        <v>5000006697</v>
      </c>
      <c r="C579" s="42" t="s">
        <v>1137</v>
      </c>
      <c r="D579" s="30" t="s">
        <v>120</v>
      </c>
      <c r="E579" s="31"/>
      <c r="F579" s="32">
        <v>13.92</v>
      </c>
      <c r="G579" s="33">
        <f>ROUND(E579*F579,2)</f>
        <v>0</v>
      </c>
      <c r="H579" s="33">
        <f>ROUND('[1]RESUMO DA PROPOSTA'!$C$19*F579,2)</f>
        <v>26.45</v>
      </c>
      <c r="I579" s="33">
        <f>ROUND(E579*H579,2)</f>
        <v>0</v>
      </c>
      <c r="J579" s="34"/>
    </row>
    <row r="580" spans="1:10" x14ac:dyDescent="0.25">
      <c r="A580" s="41" t="s">
        <v>1138</v>
      </c>
      <c r="B580" s="28">
        <v>5000007694</v>
      </c>
      <c r="C580" s="42" t="s">
        <v>1139</v>
      </c>
      <c r="D580" s="30" t="s">
        <v>29</v>
      </c>
      <c r="E580" s="31"/>
      <c r="F580" s="32">
        <v>10052.93</v>
      </c>
      <c r="G580" s="33">
        <f>ROUND(E580*F580,2)</f>
        <v>0</v>
      </c>
      <c r="H580" s="33">
        <f>ROUND('[1]RESUMO DA PROPOSTA'!$C$19*F580,2)</f>
        <v>19100.57</v>
      </c>
      <c r="I580" s="33">
        <f>ROUND(E580*H580,2)</f>
        <v>0</v>
      </c>
      <c r="J580" s="34"/>
    </row>
    <row r="581" spans="1:10" x14ac:dyDescent="0.25">
      <c r="A581" s="41" t="s">
        <v>1140</v>
      </c>
      <c r="B581" s="28">
        <v>5000011460</v>
      </c>
      <c r="C581" s="42" t="s">
        <v>1141</v>
      </c>
      <c r="D581" s="30" t="s">
        <v>29</v>
      </c>
      <c r="E581" s="31"/>
      <c r="F581" s="32">
        <v>2996.1</v>
      </c>
      <c r="G581" s="33">
        <f>ROUND(E581*F581,2)</f>
        <v>0</v>
      </c>
      <c r="H581" s="33">
        <f>ROUND('[1]RESUMO DA PROPOSTA'!$C$19*F581,2)</f>
        <v>5692.59</v>
      </c>
      <c r="I581" s="33">
        <f>ROUND(E581*H581,2)</f>
        <v>0</v>
      </c>
      <c r="J581" s="34"/>
    </row>
    <row r="582" spans="1:10" x14ac:dyDescent="0.25">
      <c r="A582" s="75" t="s">
        <v>1142</v>
      </c>
      <c r="B582" s="76"/>
      <c r="C582" s="77" t="s">
        <v>1143</v>
      </c>
      <c r="D582" s="78"/>
      <c r="E582" s="79"/>
      <c r="F582" s="80" t="s">
        <v>17</v>
      </c>
      <c r="G582" s="81">
        <f>SUBTOTAL(9,G583:G584)</f>
        <v>0</v>
      </c>
      <c r="H582" s="80" t="s">
        <v>17</v>
      </c>
      <c r="I582" s="81">
        <f>SUBTOTAL(9,I583:I584)</f>
        <v>0</v>
      </c>
      <c r="J582" s="82"/>
    </row>
    <row r="583" spans="1:10" x14ac:dyDescent="0.25">
      <c r="A583" s="41" t="s">
        <v>1144</v>
      </c>
      <c r="B583" s="28">
        <v>3000017839</v>
      </c>
      <c r="C583" s="42" t="s">
        <v>1145</v>
      </c>
      <c r="D583" s="30" t="s">
        <v>120</v>
      </c>
      <c r="E583" s="31"/>
      <c r="F583" s="32">
        <v>13.92</v>
      </c>
      <c r="G583" s="33">
        <f>ROUND(E583*F583,2)</f>
        <v>0</v>
      </c>
      <c r="H583" s="33">
        <f>ROUND('[1]RESUMO DA PROPOSTA'!$C$19*F583,2)</f>
        <v>26.45</v>
      </c>
      <c r="I583" s="33">
        <f>ROUND(E583*H583,2)</f>
        <v>0</v>
      </c>
      <c r="J583" s="34"/>
    </row>
    <row r="584" spans="1:10" ht="25.5" x14ac:dyDescent="0.25">
      <c r="A584" s="41" t="s">
        <v>1146</v>
      </c>
      <c r="B584" s="28">
        <v>5000007594</v>
      </c>
      <c r="C584" s="42" t="s">
        <v>1147</v>
      </c>
      <c r="D584" s="30" t="s">
        <v>29</v>
      </c>
      <c r="E584" s="31"/>
      <c r="F584" s="32">
        <v>2813.54</v>
      </c>
      <c r="G584" s="33">
        <f>ROUND(E584*F584,2)</f>
        <v>0</v>
      </c>
      <c r="H584" s="33">
        <f>ROUND('[1]RESUMO DA PROPOSTA'!$C$19*F584,2)</f>
        <v>5345.73</v>
      </c>
      <c r="I584" s="33">
        <f>ROUND(E584*H584,2)</f>
        <v>0</v>
      </c>
      <c r="J584" s="34"/>
    </row>
    <row r="585" spans="1:10" x14ac:dyDescent="0.25">
      <c r="A585" s="67" t="s">
        <v>1148</v>
      </c>
      <c r="B585" s="68"/>
      <c r="C585" s="69" t="s">
        <v>1149</v>
      </c>
      <c r="D585" s="70"/>
      <c r="E585" s="71"/>
      <c r="F585" s="72" t="s">
        <v>17</v>
      </c>
      <c r="G585" s="73">
        <f>SUBTOTAL(9,G586:G589)</f>
        <v>0</v>
      </c>
      <c r="H585" s="72" t="s">
        <v>17</v>
      </c>
      <c r="I585" s="73">
        <f>SUBTOTAL(9,I586:I589)</f>
        <v>0</v>
      </c>
      <c r="J585" s="74"/>
    </row>
    <row r="586" spans="1:10" x14ac:dyDescent="0.25">
      <c r="A586" s="41" t="s">
        <v>1150</v>
      </c>
      <c r="B586" s="28">
        <v>5000007643</v>
      </c>
      <c r="C586" s="42" t="s">
        <v>1151</v>
      </c>
      <c r="D586" s="30" t="s">
        <v>29</v>
      </c>
      <c r="E586" s="31"/>
      <c r="F586" s="32">
        <v>462.72</v>
      </c>
      <c r="G586" s="33">
        <f>ROUND(E586*F586,2)</f>
        <v>0</v>
      </c>
      <c r="H586" s="33">
        <f>ROUND('[1]RESUMO DA PROPOSTA'!$C$19*F586,2)</f>
        <v>879.17</v>
      </c>
      <c r="I586" s="33">
        <f>ROUND(E586*H586,2)</f>
        <v>0</v>
      </c>
      <c r="J586" s="34"/>
    </row>
    <row r="587" spans="1:10" x14ac:dyDescent="0.25">
      <c r="A587" s="41" t="s">
        <v>1152</v>
      </c>
      <c r="B587" s="28">
        <v>5000007645</v>
      </c>
      <c r="C587" s="42" t="s">
        <v>1153</v>
      </c>
      <c r="D587" s="30" t="s">
        <v>120</v>
      </c>
      <c r="E587" s="31"/>
      <c r="F587" s="32">
        <v>12.02</v>
      </c>
      <c r="G587" s="33">
        <f>ROUND(E587*F587,2)</f>
        <v>0</v>
      </c>
      <c r="H587" s="33">
        <f>ROUND('[1]RESUMO DA PROPOSTA'!$C$19*F587,2)</f>
        <v>22.84</v>
      </c>
      <c r="I587" s="33">
        <f>ROUND(E587*H587,2)</f>
        <v>0</v>
      </c>
      <c r="J587" s="34"/>
    </row>
    <row r="588" spans="1:10" x14ac:dyDescent="0.25">
      <c r="A588" s="41" t="s">
        <v>1154</v>
      </c>
      <c r="B588" s="28">
        <v>5000007704</v>
      </c>
      <c r="C588" s="42" t="s">
        <v>1155</v>
      </c>
      <c r="D588" s="30" t="s">
        <v>29</v>
      </c>
      <c r="E588" s="31"/>
      <c r="F588" s="32">
        <v>68.069999999999993</v>
      </c>
      <c r="G588" s="33">
        <f>ROUND(E588*F588,2)</f>
        <v>0</v>
      </c>
      <c r="H588" s="33">
        <f>ROUND('[1]RESUMO DA PROPOSTA'!$C$19*F588,2)</f>
        <v>129.33000000000001</v>
      </c>
      <c r="I588" s="33">
        <f>ROUND(E588*H588,2)</f>
        <v>0</v>
      </c>
      <c r="J588" s="34"/>
    </row>
    <row r="589" spans="1:10" x14ac:dyDescent="0.25">
      <c r="A589" s="41" t="s">
        <v>1156</v>
      </c>
      <c r="B589" s="28">
        <v>5000007717</v>
      </c>
      <c r="C589" s="42" t="s">
        <v>1157</v>
      </c>
      <c r="D589" s="30" t="s">
        <v>29</v>
      </c>
      <c r="E589" s="31"/>
      <c r="F589" s="32">
        <v>365.75</v>
      </c>
      <c r="G589" s="33">
        <f>ROUND(E589*F589,2)</f>
        <v>0</v>
      </c>
      <c r="H589" s="33">
        <f>ROUND('[1]RESUMO DA PROPOSTA'!$C$19*F589,2)</f>
        <v>694.93</v>
      </c>
      <c r="I589" s="33">
        <f>ROUND(E589*H589,2)</f>
        <v>0</v>
      </c>
      <c r="J589" s="34"/>
    </row>
    <row r="590" spans="1:10" ht="15.75" x14ac:dyDescent="0.25">
      <c r="A590" s="43" t="s">
        <v>1158</v>
      </c>
      <c r="B590" s="44"/>
      <c r="C590" s="45" t="s">
        <v>1159</v>
      </c>
      <c r="D590" s="46"/>
      <c r="E590" s="47"/>
      <c r="F590" s="48" t="s">
        <v>17</v>
      </c>
      <c r="G590" s="49">
        <f>SUBTOTAL(9,G591:G662)</f>
        <v>0</v>
      </c>
      <c r="H590" s="48" t="s">
        <v>17</v>
      </c>
      <c r="I590" s="49">
        <f>SUBTOTAL(9,I591:I662)</f>
        <v>0</v>
      </c>
      <c r="J590" s="50"/>
    </row>
    <row r="591" spans="1:10" ht="25.5" x14ac:dyDescent="0.25">
      <c r="A591" s="67" t="s">
        <v>1160</v>
      </c>
      <c r="B591" s="68"/>
      <c r="C591" s="69" t="s">
        <v>962</v>
      </c>
      <c r="D591" s="70"/>
      <c r="E591" s="71"/>
      <c r="F591" s="72" t="s">
        <v>17</v>
      </c>
      <c r="G591" s="73">
        <f>SUBTOTAL(9,G592:G597)</f>
        <v>0</v>
      </c>
      <c r="H591" s="72" t="s">
        <v>17</v>
      </c>
      <c r="I591" s="73">
        <f>SUBTOTAL(9,I592:I597)</f>
        <v>0</v>
      </c>
      <c r="J591" s="74"/>
    </row>
    <row r="592" spans="1:10" x14ac:dyDescent="0.25">
      <c r="A592" s="41" t="s">
        <v>1161</v>
      </c>
      <c r="B592" s="28">
        <v>5000007449</v>
      </c>
      <c r="C592" s="42" t="s">
        <v>1162</v>
      </c>
      <c r="D592" s="30" t="s">
        <v>29</v>
      </c>
      <c r="E592" s="31"/>
      <c r="F592" s="32">
        <v>2705.76</v>
      </c>
      <c r="G592" s="33">
        <f t="shared" ref="G592:G597" si="40">ROUND(E592*F592,2)</f>
        <v>0</v>
      </c>
      <c r="H592" s="33">
        <f>ROUND('[1]RESUMO DA PROPOSTA'!$C$19*F592,2)</f>
        <v>5140.9399999999996</v>
      </c>
      <c r="I592" s="33">
        <f t="shared" ref="I592:I597" si="41">ROUND(E592*H592,2)</f>
        <v>0</v>
      </c>
      <c r="J592" s="34"/>
    </row>
    <row r="593" spans="1:10" x14ac:dyDescent="0.25">
      <c r="A593" s="41" t="s">
        <v>1163</v>
      </c>
      <c r="B593" s="28">
        <v>5000007543</v>
      </c>
      <c r="C593" s="42" t="s">
        <v>1164</v>
      </c>
      <c r="D593" s="30" t="s">
        <v>29</v>
      </c>
      <c r="E593" s="31"/>
      <c r="F593" s="32">
        <v>910.54</v>
      </c>
      <c r="G593" s="33">
        <f t="shared" si="40"/>
        <v>0</v>
      </c>
      <c r="H593" s="33">
        <f>ROUND('[1]RESUMO DA PROPOSTA'!$C$19*F593,2)</f>
        <v>1730.03</v>
      </c>
      <c r="I593" s="33">
        <f t="shared" si="41"/>
        <v>0</v>
      </c>
      <c r="J593" s="34"/>
    </row>
    <row r="594" spans="1:10" x14ac:dyDescent="0.25">
      <c r="A594" s="41" t="s">
        <v>1165</v>
      </c>
      <c r="B594" s="28">
        <v>5000007614</v>
      </c>
      <c r="C594" s="42" t="s">
        <v>1166</v>
      </c>
      <c r="D594" s="30" t="s">
        <v>463</v>
      </c>
      <c r="E594" s="31"/>
      <c r="F594" s="32">
        <v>4.3</v>
      </c>
      <c r="G594" s="33">
        <f t="shared" si="40"/>
        <v>0</v>
      </c>
      <c r="H594" s="33">
        <f>ROUND('[1]RESUMO DA PROPOSTA'!$C$19*F594,2)</f>
        <v>8.17</v>
      </c>
      <c r="I594" s="33">
        <f t="shared" si="41"/>
        <v>0</v>
      </c>
      <c r="J594" s="34"/>
    </row>
    <row r="595" spans="1:10" x14ac:dyDescent="0.25">
      <c r="A595" s="41" t="s">
        <v>1167</v>
      </c>
      <c r="B595" s="28">
        <v>5000007627</v>
      </c>
      <c r="C595" s="42" t="s">
        <v>1168</v>
      </c>
      <c r="D595" s="30" t="s">
        <v>29</v>
      </c>
      <c r="E595" s="31"/>
      <c r="F595" s="32">
        <v>1109.6600000000001</v>
      </c>
      <c r="G595" s="33">
        <f t="shared" si="40"/>
        <v>0</v>
      </c>
      <c r="H595" s="33">
        <f>ROUND('[1]RESUMO DA PROPOSTA'!$C$19*F595,2)</f>
        <v>2108.35</v>
      </c>
      <c r="I595" s="33">
        <f t="shared" si="41"/>
        <v>0</v>
      </c>
      <c r="J595" s="34"/>
    </row>
    <row r="596" spans="1:10" x14ac:dyDescent="0.25">
      <c r="A596" s="41" t="s">
        <v>1169</v>
      </c>
      <c r="B596" s="28">
        <v>5000007629</v>
      </c>
      <c r="C596" s="42" t="s">
        <v>1170</v>
      </c>
      <c r="D596" s="30" t="s">
        <v>29</v>
      </c>
      <c r="E596" s="31"/>
      <c r="F596" s="32">
        <v>1303.2750000000001</v>
      </c>
      <c r="G596" s="33">
        <f t="shared" si="40"/>
        <v>0</v>
      </c>
      <c r="H596" s="33">
        <f>ROUND('[1]RESUMO DA PROPOSTA'!$C$19*F596,2)</f>
        <v>2476.2199999999998</v>
      </c>
      <c r="I596" s="33">
        <f t="shared" si="41"/>
        <v>0</v>
      </c>
      <c r="J596" s="34"/>
    </row>
    <row r="597" spans="1:10" x14ac:dyDescent="0.25">
      <c r="A597" s="41" t="s">
        <v>1171</v>
      </c>
      <c r="B597" s="28">
        <v>5000011292</v>
      </c>
      <c r="C597" s="42" t="s">
        <v>1172</v>
      </c>
      <c r="D597" s="30" t="s">
        <v>29</v>
      </c>
      <c r="E597" s="31"/>
      <c r="F597" s="32">
        <v>571.79</v>
      </c>
      <c r="G597" s="33">
        <f t="shared" si="40"/>
        <v>0</v>
      </c>
      <c r="H597" s="33">
        <f>ROUND('[1]RESUMO DA PROPOSTA'!$C$19*F597,2)</f>
        <v>1086.4000000000001</v>
      </c>
      <c r="I597" s="33">
        <f t="shared" si="41"/>
        <v>0</v>
      </c>
      <c r="J597" s="34"/>
    </row>
    <row r="598" spans="1:10" x14ac:dyDescent="0.25">
      <c r="A598" s="67" t="s">
        <v>1173</v>
      </c>
      <c r="B598" s="68"/>
      <c r="C598" s="69" t="s">
        <v>988</v>
      </c>
      <c r="D598" s="70"/>
      <c r="E598" s="71"/>
      <c r="F598" s="72" t="s">
        <v>17</v>
      </c>
      <c r="G598" s="73">
        <f>SUBTOTAL(9,G599:G603)</f>
        <v>0</v>
      </c>
      <c r="H598" s="72" t="s">
        <v>17</v>
      </c>
      <c r="I598" s="73">
        <f>SUBTOTAL(9,I599:I603)</f>
        <v>0</v>
      </c>
      <c r="J598" s="74"/>
    </row>
    <row r="599" spans="1:10" x14ac:dyDescent="0.25">
      <c r="A599" s="75" t="s">
        <v>1174</v>
      </c>
      <c r="B599" s="76"/>
      <c r="C599" s="77" t="s">
        <v>990</v>
      </c>
      <c r="D599" s="78"/>
      <c r="E599" s="79"/>
      <c r="F599" s="80" t="s">
        <v>17</v>
      </c>
      <c r="G599" s="81">
        <f>SUBTOTAL(9,G600:G600)</f>
        <v>0</v>
      </c>
      <c r="H599" s="80" t="s">
        <v>17</v>
      </c>
      <c r="I599" s="81">
        <f>SUBTOTAL(9,I600:I600)</f>
        <v>0</v>
      </c>
      <c r="J599" s="82"/>
    </row>
    <row r="600" spans="1:10" x14ac:dyDescent="0.25">
      <c r="A600" s="41" t="s">
        <v>1175</v>
      </c>
      <c r="B600" s="28">
        <v>5000007732</v>
      </c>
      <c r="C600" s="42" t="s">
        <v>1176</v>
      </c>
      <c r="D600" s="30" t="s">
        <v>20</v>
      </c>
      <c r="E600" s="31"/>
      <c r="F600" s="32">
        <v>4230</v>
      </c>
      <c r="G600" s="33">
        <f>ROUND(E600*F600,2)</f>
        <v>0</v>
      </c>
      <c r="H600" s="33">
        <f>ROUND('[1]RESUMO DA PROPOSTA'!$C$19*F600,2)</f>
        <v>8037</v>
      </c>
      <c r="I600" s="33">
        <f>ROUND(E600*H600,2)</f>
        <v>0</v>
      </c>
      <c r="J600" s="34"/>
    </row>
    <row r="601" spans="1:10" x14ac:dyDescent="0.25">
      <c r="A601" s="75" t="s">
        <v>1177</v>
      </c>
      <c r="B601" s="76"/>
      <c r="C601" s="77" t="s">
        <v>994</v>
      </c>
      <c r="D601" s="78"/>
      <c r="E601" s="79"/>
      <c r="F601" s="80" t="s">
        <v>17</v>
      </c>
      <c r="G601" s="81">
        <f>SUBTOTAL(9,G602:G603)</f>
        <v>0</v>
      </c>
      <c r="H601" s="80" t="s">
        <v>17</v>
      </c>
      <c r="I601" s="81">
        <f>SUBTOTAL(9,I602:I603)</f>
        <v>0</v>
      </c>
      <c r="J601" s="82"/>
    </row>
    <row r="602" spans="1:10" x14ac:dyDescent="0.25">
      <c r="A602" s="41" t="s">
        <v>1178</v>
      </c>
      <c r="B602" s="28">
        <v>5000007559</v>
      </c>
      <c r="C602" s="42" t="s">
        <v>1179</v>
      </c>
      <c r="D602" s="30" t="s">
        <v>120</v>
      </c>
      <c r="E602" s="31"/>
      <c r="F602" s="32">
        <v>17.989999999999998</v>
      </c>
      <c r="G602" s="33">
        <f>ROUND(E602*F602,2)</f>
        <v>0</v>
      </c>
      <c r="H602" s="33">
        <f>ROUND('[1]RESUMO DA PROPOSTA'!$C$19*F602,2)</f>
        <v>34.18</v>
      </c>
      <c r="I602" s="33">
        <f>ROUND(E602*H602,2)</f>
        <v>0</v>
      </c>
      <c r="J602" s="34"/>
    </row>
    <row r="603" spans="1:10" x14ac:dyDescent="0.25">
      <c r="A603" s="41" t="s">
        <v>1180</v>
      </c>
      <c r="B603" s="28">
        <v>5000011293</v>
      </c>
      <c r="C603" s="42" t="s">
        <v>1181</v>
      </c>
      <c r="D603" s="30" t="s">
        <v>254</v>
      </c>
      <c r="E603" s="31"/>
      <c r="F603" s="32">
        <v>111.88</v>
      </c>
      <c r="G603" s="33">
        <f>ROUND(E603*F603,2)</f>
        <v>0</v>
      </c>
      <c r="H603" s="33">
        <f>ROUND('[1]RESUMO DA PROPOSTA'!$C$19*F603,2)</f>
        <v>212.57</v>
      </c>
      <c r="I603" s="33">
        <f>ROUND(E603*H603,2)</f>
        <v>0</v>
      </c>
      <c r="J603" s="34"/>
    </row>
    <row r="604" spans="1:10" x14ac:dyDescent="0.25">
      <c r="A604" s="67" t="s">
        <v>1182</v>
      </c>
      <c r="B604" s="68"/>
      <c r="C604" s="69" t="s">
        <v>1004</v>
      </c>
      <c r="D604" s="70"/>
      <c r="E604" s="71"/>
      <c r="F604" s="72" t="s">
        <v>17</v>
      </c>
      <c r="G604" s="73">
        <f>SUBTOTAL(9,G605:G622)</f>
        <v>0</v>
      </c>
      <c r="H604" s="72" t="s">
        <v>17</v>
      </c>
      <c r="I604" s="73">
        <f>SUBTOTAL(9,I605:I622)</f>
        <v>0</v>
      </c>
      <c r="J604" s="74"/>
    </row>
    <row r="605" spans="1:10" x14ac:dyDescent="0.25">
      <c r="A605" s="41" t="s">
        <v>1183</v>
      </c>
      <c r="B605" s="28">
        <v>5000006699</v>
      </c>
      <c r="C605" s="42" t="s">
        <v>1184</v>
      </c>
      <c r="D605" s="30" t="s">
        <v>29</v>
      </c>
      <c r="E605" s="31"/>
      <c r="F605" s="32">
        <v>294.89</v>
      </c>
      <c r="G605" s="33">
        <f t="shared" ref="G605:G622" si="42">ROUND(E605*F605,2)</f>
        <v>0</v>
      </c>
      <c r="H605" s="33">
        <f>ROUND('[1]RESUMO DA PROPOSTA'!$C$19*F605,2)</f>
        <v>560.29</v>
      </c>
      <c r="I605" s="33">
        <f t="shared" ref="I605:I622" si="43">ROUND(E605*H605,2)</f>
        <v>0</v>
      </c>
      <c r="J605" s="34"/>
    </row>
    <row r="606" spans="1:10" x14ac:dyDescent="0.25">
      <c r="A606" s="41" t="s">
        <v>1185</v>
      </c>
      <c r="B606" s="28">
        <v>5000007392</v>
      </c>
      <c r="C606" s="42" t="s">
        <v>1186</v>
      </c>
      <c r="D606" s="30" t="s">
        <v>29</v>
      </c>
      <c r="E606" s="31"/>
      <c r="F606" s="32">
        <v>217.35</v>
      </c>
      <c r="G606" s="33">
        <f t="shared" si="42"/>
        <v>0</v>
      </c>
      <c r="H606" s="33">
        <f>ROUND('[1]RESUMO DA PROPOSTA'!$C$19*F606,2)</f>
        <v>412.97</v>
      </c>
      <c r="I606" s="33">
        <f t="shared" si="43"/>
        <v>0</v>
      </c>
      <c r="J606" s="34"/>
    </row>
    <row r="607" spans="1:10" x14ac:dyDescent="0.25">
      <c r="A607" s="41" t="s">
        <v>1187</v>
      </c>
      <c r="B607" s="28">
        <v>5000007393</v>
      </c>
      <c r="C607" s="42" t="s">
        <v>1188</v>
      </c>
      <c r="D607" s="30" t="s">
        <v>29</v>
      </c>
      <c r="E607" s="31"/>
      <c r="F607" s="32">
        <v>159.16999999999999</v>
      </c>
      <c r="G607" s="33">
        <f t="shared" si="42"/>
        <v>0</v>
      </c>
      <c r="H607" s="33">
        <f>ROUND('[1]RESUMO DA PROPOSTA'!$C$19*F607,2)</f>
        <v>302.42</v>
      </c>
      <c r="I607" s="33">
        <f t="shared" si="43"/>
        <v>0</v>
      </c>
      <c r="J607" s="34"/>
    </row>
    <row r="608" spans="1:10" x14ac:dyDescent="0.25">
      <c r="A608" s="41" t="s">
        <v>1189</v>
      </c>
      <c r="B608" s="28">
        <v>5000007550</v>
      </c>
      <c r="C608" s="42" t="s">
        <v>1190</v>
      </c>
      <c r="D608" s="30" t="s">
        <v>29</v>
      </c>
      <c r="E608" s="31"/>
      <c r="F608" s="32">
        <v>100.99</v>
      </c>
      <c r="G608" s="33">
        <f t="shared" si="42"/>
        <v>0</v>
      </c>
      <c r="H608" s="33">
        <f>ROUND('[1]RESUMO DA PROPOSTA'!$C$19*F608,2)</f>
        <v>191.88</v>
      </c>
      <c r="I608" s="33">
        <f t="shared" si="43"/>
        <v>0</v>
      </c>
      <c r="J608" s="34"/>
    </row>
    <row r="609" spans="1:10" x14ac:dyDescent="0.25">
      <c r="A609" s="41" t="s">
        <v>1191</v>
      </c>
      <c r="B609" s="28">
        <v>5000007558</v>
      </c>
      <c r="C609" s="42" t="s">
        <v>1192</v>
      </c>
      <c r="D609" s="30" t="s">
        <v>120</v>
      </c>
      <c r="E609" s="31"/>
      <c r="F609" s="32">
        <v>6.63</v>
      </c>
      <c r="G609" s="33">
        <f t="shared" si="42"/>
        <v>0</v>
      </c>
      <c r="H609" s="33">
        <f>ROUND('[1]RESUMO DA PROPOSTA'!$C$19*F609,2)</f>
        <v>12.6</v>
      </c>
      <c r="I609" s="33">
        <f t="shared" si="43"/>
        <v>0</v>
      </c>
      <c r="J609" s="34"/>
    </row>
    <row r="610" spans="1:10" x14ac:dyDescent="0.25">
      <c r="A610" s="41" t="s">
        <v>1193</v>
      </c>
      <c r="B610" s="28">
        <v>5000007602</v>
      </c>
      <c r="C610" s="42" t="s">
        <v>1194</v>
      </c>
      <c r="D610" s="30" t="s">
        <v>29</v>
      </c>
      <c r="E610" s="31"/>
      <c r="F610" s="32">
        <v>65.349999999999994</v>
      </c>
      <c r="G610" s="33">
        <f t="shared" si="42"/>
        <v>0</v>
      </c>
      <c r="H610" s="33">
        <f>ROUND('[1]RESUMO DA PROPOSTA'!$C$19*F610,2)</f>
        <v>124.17</v>
      </c>
      <c r="I610" s="33">
        <f t="shared" si="43"/>
        <v>0</v>
      </c>
      <c r="J610" s="34"/>
    </row>
    <row r="611" spans="1:10" x14ac:dyDescent="0.25">
      <c r="A611" s="41" t="s">
        <v>1195</v>
      </c>
      <c r="B611" s="28">
        <v>5000007603</v>
      </c>
      <c r="C611" s="42" t="s">
        <v>1196</v>
      </c>
      <c r="D611" s="30" t="s">
        <v>29</v>
      </c>
      <c r="E611" s="31"/>
      <c r="F611" s="32">
        <v>301.42</v>
      </c>
      <c r="G611" s="33">
        <f t="shared" si="42"/>
        <v>0</v>
      </c>
      <c r="H611" s="33">
        <f>ROUND('[1]RESUMO DA PROPOSTA'!$C$19*F611,2)</f>
        <v>572.70000000000005</v>
      </c>
      <c r="I611" s="33">
        <f t="shared" si="43"/>
        <v>0</v>
      </c>
      <c r="J611" s="34"/>
    </row>
    <row r="612" spans="1:10" x14ac:dyDescent="0.25">
      <c r="A612" s="41" t="s">
        <v>1197</v>
      </c>
      <c r="B612" s="28">
        <v>5000007604</v>
      </c>
      <c r="C612" s="42" t="s">
        <v>1198</v>
      </c>
      <c r="D612" s="30" t="s">
        <v>29</v>
      </c>
      <c r="E612" s="31"/>
      <c r="F612" s="32">
        <v>272.33</v>
      </c>
      <c r="G612" s="33">
        <f t="shared" si="42"/>
        <v>0</v>
      </c>
      <c r="H612" s="33">
        <f>ROUND('[1]RESUMO DA PROPOSTA'!$C$19*F612,2)</f>
        <v>517.42999999999995</v>
      </c>
      <c r="I612" s="33">
        <f t="shared" si="43"/>
        <v>0</v>
      </c>
      <c r="J612" s="34"/>
    </row>
    <row r="613" spans="1:10" x14ac:dyDescent="0.25">
      <c r="A613" s="41" t="s">
        <v>1199</v>
      </c>
      <c r="B613" s="28">
        <v>3000016133</v>
      </c>
      <c r="C613" s="42" t="s">
        <v>1200</v>
      </c>
      <c r="D613" s="30" t="s">
        <v>29</v>
      </c>
      <c r="E613" s="31"/>
      <c r="F613" s="32">
        <v>88.62</v>
      </c>
      <c r="G613" s="33">
        <f t="shared" si="42"/>
        <v>0</v>
      </c>
      <c r="H613" s="33">
        <f>ROUND('[1]RESUMO DA PROPOSTA'!$C$19*F613,2)</f>
        <v>168.38</v>
      </c>
      <c r="I613" s="33">
        <f t="shared" si="43"/>
        <v>0</v>
      </c>
      <c r="J613" s="34"/>
    </row>
    <row r="614" spans="1:10" x14ac:dyDescent="0.25">
      <c r="A614" s="41" t="s">
        <v>1201</v>
      </c>
      <c r="B614" s="28">
        <v>3000016149</v>
      </c>
      <c r="C614" s="42" t="s">
        <v>1202</v>
      </c>
      <c r="D614" s="30" t="s">
        <v>29</v>
      </c>
      <c r="E614" s="31"/>
      <c r="F614" s="32">
        <v>118.81</v>
      </c>
      <c r="G614" s="33">
        <f t="shared" si="42"/>
        <v>0</v>
      </c>
      <c r="H614" s="33">
        <f>ROUND('[1]RESUMO DA PROPOSTA'!$C$19*F614,2)</f>
        <v>225.74</v>
      </c>
      <c r="I614" s="33">
        <f t="shared" si="43"/>
        <v>0</v>
      </c>
      <c r="J614" s="34"/>
    </row>
    <row r="615" spans="1:10" x14ac:dyDescent="0.25">
      <c r="A615" s="41" t="s">
        <v>1203</v>
      </c>
      <c r="B615" s="28">
        <v>5000007624</v>
      </c>
      <c r="C615" s="42" t="s">
        <v>1204</v>
      </c>
      <c r="D615" s="30" t="s">
        <v>120</v>
      </c>
      <c r="E615" s="31"/>
      <c r="F615" s="32">
        <v>67.290000000000006</v>
      </c>
      <c r="G615" s="33">
        <f t="shared" si="42"/>
        <v>0</v>
      </c>
      <c r="H615" s="33">
        <f>ROUND('[1]RESUMO DA PROPOSTA'!$C$19*F615,2)</f>
        <v>127.85</v>
      </c>
      <c r="I615" s="33">
        <f t="shared" si="43"/>
        <v>0</v>
      </c>
      <c r="J615" s="34"/>
    </row>
    <row r="616" spans="1:10" x14ac:dyDescent="0.25">
      <c r="A616" s="41" t="s">
        <v>1205</v>
      </c>
      <c r="B616" s="28">
        <v>5000007625</v>
      </c>
      <c r="C616" s="42" t="s">
        <v>1206</v>
      </c>
      <c r="D616" s="30" t="s">
        <v>120</v>
      </c>
      <c r="E616" s="31"/>
      <c r="F616" s="32">
        <v>8.42</v>
      </c>
      <c r="G616" s="33">
        <f t="shared" si="42"/>
        <v>0</v>
      </c>
      <c r="H616" s="33">
        <f>ROUND('[1]RESUMO DA PROPOSTA'!$C$19*F616,2)</f>
        <v>16</v>
      </c>
      <c r="I616" s="33">
        <f t="shared" si="43"/>
        <v>0</v>
      </c>
      <c r="J616" s="34"/>
    </row>
    <row r="617" spans="1:10" x14ac:dyDescent="0.25">
      <c r="A617" s="41" t="s">
        <v>1207</v>
      </c>
      <c r="B617" s="28">
        <v>5000007638</v>
      </c>
      <c r="C617" s="42" t="s">
        <v>1208</v>
      </c>
      <c r="D617" s="30" t="s">
        <v>120</v>
      </c>
      <c r="E617" s="31"/>
      <c r="F617" s="32">
        <v>88.82</v>
      </c>
      <c r="G617" s="33">
        <f t="shared" si="42"/>
        <v>0</v>
      </c>
      <c r="H617" s="33">
        <f>ROUND('[1]RESUMO DA PROPOSTA'!$C$19*F617,2)</f>
        <v>168.76</v>
      </c>
      <c r="I617" s="33">
        <f t="shared" si="43"/>
        <v>0</v>
      </c>
      <c r="J617" s="34"/>
    </row>
    <row r="618" spans="1:10" x14ac:dyDescent="0.25">
      <c r="A618" s="41" t="s">
        <v>1209</v>
      </c>
      <c r="B618" s="28">
        <v>5000007743</v>
      </c>
      <c r="C618" s="42" t="s">
        <v>1210</v>
      </c>
      <c r="D618" s="30" t="s">
        <v>29</v>
      </c>
      <c r="E618" s="31"/>
      <c r="F618" s="32">
        <v>118.81</v>
      </c>
      <c r="G618" s="33">
        <f t="shared" si="42"/>
        <v>0</v>
      </c>
      <c r="H618" s="33">
        <f>ROUND('[1]RESUMO DA PROPOSTA'!$C$19*F618,2)</f>
        <v>225.74</v>
      </c>
      <c r="I618" s="33">
        <f t="shared" si="43"/>
        <v>0</v>
      </c>
      <c r="J618" s="34"/>
    </row>
    <row r="619" spans="1:10" x14ac:dyDescent="0.25">
      <c r="A619" s="41" t="s">
        <v>1211</v>
      </c>
      <c r="B619" s="28">
        <v>5000011294</v>
      </c>
      <c r="C619" s="42" t="s">
        <v>1212</v>
      </c>
      <c r="D619" s="30" t="s">
        <v>29</v>
      </c>
      <c r="E619" s="31"/>
      <c r="F619" s="32">
        <v>111.88</v>
      </c>
      <c r="G619" s="33">
        <f t="shared" si="42"/>
        <v>0</v>
      </c>
      <c r="H619" s="33">
        <f>ROUND('[1]RESUMO DA PROPOSTA'!$C$19*F619,2)</f>
        <v>212.57</v>
      </c>
      <c r="I619" s="33">
        <f t="shared" si="43"/>
        <v>0</v>
      </c>
      <c r="J619" s="34"/>
    </row>
    <row r="620" spans="1:10" x14ac:dyDescent="0.25">
      <c r="A620" s="41" t="s">
        <v>1213</v>
      </c>
      <c r="B620" s="28">
        <v>5000011295</v>
      </c>
      <c r="C620" s="42" t="s">
        <v>1214</v>
      </c>
      <c r="D620" s="30" t="s">
        <v>29</v>
      </c>
      <c r="E620" s="31"/>
      <c r="F620" s="32">
        <v>111.88</v>
      </c>
      <c r="G620" s="33">
        <f t="shared" si="42"/>
        <v>0</v>
      </c>
      <c r="H620" s="33">
        <f>ROUND('[1]RESUMO DA PROPOSTA'!$C$19*F620,2)</f>
        <v>212.57</v>
      </c>
      <c r="I620" s="33">
        <f t="shared" si="43"/>
        <v>0</v>
      </c>
      <c r="J620" s="34"/>
    </row>
    <row r="621" spans="1:10" x14ac:dyDescent="0.25">
      <c r="A621" s="41" t="s">
        <v>1215</v>
      </c>
      <c r="B621" s="28">
        <v>5000011296</v>
      </c>
      <c r="C621" s="42" t="s">
        <v>1216</v>
      </c>
      <c r="D621" s="30" t="s">
        <v>29</v>
      </c>
      <c r="E621" s="31"/>
      <c r="F621" s="32">
        <v>111.88</v>
      </c>
      <c r="G621" s="33">
        <f t="shared" si="42"/>
        <v>0</v>
      </c>
      <c r="H621" s="33">
        <f>ROUND('[1]RESUMO DA PROPOSTA'!$C$19*F621,2)</f>
        <v>212.57</v>
      </c>
      <c r="I621" s="33">
        <f t="shared" si="43"/>
        <v>0</v>
      </c>
      <c r="J621" s="34"/>
    </row>
    <row r="622" spans="1:10" x14ac:dyDescent="0.25">
      <c r="A622" s="41" t="s">
        <v>1217</v>
      </c>
      <c r="B622" s="28">
        <v>5000011297</v>
      </c>
      <c r="C622" s="42" t="s">
        <v>1218</v>
      </c>
      <c r="D622" s="30" t="s">
        <v>29</v>
      </c>
      <c r="E622" s="31"/>
      <c r="F622" s="32">
        <v>111.88</v>
      </c>
      <c r="G622" s="33">
        <f t="shared" si="42"/>
        <v>0</v>
      </c>
      <c r="H622" s="33">
        <f>ROUND('[1]RESUMO DA PROPOSTA'!$C$19*F622,2)</f>
        <v>212.57</v>
      </c>
      <c r="I622" s="33">
        <f t="shared" si="43"/>
        <v>0</v>
      </c>
      <c r="J622" s="34"/>
    </row>
    <row r="623" spans="1:10" x14ac:dyDescent="0.25">
      <c r="A623" s="67" t="s">
        <v>1219</v>
      </c>
      <c r="B623" s="68"/>
      <c r="C623" s="69" t="s">
        <v>1044</v>
      </c>
      <c r="D623" s="70"/>
      <c r="E623" s="71"/>
      <c r="F623" s="72" t="s">
        <v>17</v>
      </c>
      <c r="G623" s="73">
        <f>SUBTOTAL(9,G624:G653)</f>
        <v>0</v>
      </c>
      <c r="H623" s="72" t="s">
        <v>17</v>
      </c>
      <c r="I623" s="73">
        <f>SUBTOTAL(9,I624:I653)</f>
        <v>0</v>
      </c>
      <c r="J623" s="74"/>
    </row>
    <row r="624" spans="1:10" x14ac:dyDescent="0.25">
      <c r="A624" s="75" t="s">
        <v>1220</v>
      </c>
      <c r="B624" s="76"/>
      <c r="C624" s="77" t="s">
        <v>1046</v>
      </c>
      <c r="D624" s="78"/>
      <c r="E624" s="79"/>
      <c r="F624" s="80" t="s">
        <v>17</v>
      </c>
      <c r="G624" s="81">
        <f>SUBTOTAL(9,G625:G629)</f>
        <v>0</v>
      </c>
      <c r="H624" s="80" t="s">
        <v>17</v>
      </c>
      <c r="I624" s="81">
        <f>SUBTOTAL(9,I625:I629)</f>
        <v>0</v>
      </c>
      <c r="J624" s="82"/>
    </row>
    <row r="625" spans="1:10" x14ac:dyDescent="0.25">
      <c r="A625" s="41" t="s">
        <v>1221</v>
      </c>
      <c r="B625" s="28">
        <v>5000011298</v>
      </c>
      <c r="C625" s="42" t="s">
        <v>1222</v>
      </c>
      <c r="D625" s="30" t="s">
        <v>120</v>
      </c>
      <c r="E625" s="31"/>
      <c r="F625" s="32">
        <v>13.81</v>
      </c>
      <c r="G625" s="33">
        <f>ROUND(E625*F625,2)</f>
        <v>0</v>
      </c>
      <c r="H625" s="33">
        <f>ROUND('[1]RESUMO DA PROPOSTA'!$C$19*F625,2)</f>
        <v>26.24</v>
      </c>
      <c r="I625" s="33">
        <f>ROUND(E625*H625,2)</f>
        <v>0</v>
      </c>
      <c r="J625" s="34"/>
    </row>
    <row r="626" spans="1:10" x14ac:dyDescent="0.25">
      <c r="A626" s="41" t="s">
        <v>1223</v>
      </c>
      <c r="B626" s="28">
        <v>5000011299</v>
      </c>
      <c r="C626" s="42" t="s">
        <v>1224</v>
      </c>
      <c r="D626" s="30" t="s">
        <v>29</v>
      </c>
      <c r="E626" s="31"/>
      <c r="F626" s="32">
        <v>1158.51</v>
      </c>
      <c r="G626" s="33">
        <f>ROUND(E626*F626,2)</f>
        <v>0</v>
      </c>
      <c r="H626" s="33">
        <f>ROUND('[1]RESUMO DA PROPOSTA'!$C$19*F626,2)</f>
        <v>2201.17</v>
      </c>
      <c r="I626" s="33">
        <f>ROUND(E626*H626,2)</f>
        <v>0</v>
      </c>
      <c r="J626" s="34"/>
    </row>
    <row r="627" spans="1:10" x14ac:dyDescent="0.25">
      <c r="A627" s="41" t="s">
        <v>1225</v>
      </c>
      <c r="B627" s="28">
        <v>5000011300</v>
      </c>
      <c r="C627" s="42" t="s">
        <v>1226</v>
      </c>
      <c r="D627" s="30" t="s">
        <v>29</v>
      </c>
      <c r="E627" s="31"/>
      <c r="F627" s="32">
        <v>1954.39</v>
      </c>
      <c r="G627" s="33">
        <f>ROUND(E627*F627,2)</f>
        <v>0</v>
      </c>
      <c r="H627" s="33">
        <f>ROUND('[1]RESUMO DA PROPOSTA'!$C$19*F627,2)</f>
        <v>3713.34</v>
      </c>
      <c r="I627" s="33">
        <f>ROUND(E627*H627,2)</f>
        <v>0</v>
      </c>
      <c r="J627" s="34"/>
    </row>
    <row r="628" spans="1:10" x14ac:dyDescent="0.25">
      <c r="A628" s="41" t="s">
        <v>1227</v>
      </c>
      <c r="B628" s="28">
        <v>5000011301</v>
      </c>
      <c r="C628" s="42" t="s">
        <v>1228</v>
      </c>
      <c r="D628" s="30" t="s">
        <v>29</v>
      </c>
      <c r="E628" s="31"/>
      <c r="F628" s="32">
        <v>1454.3</v>
      </c>
      <c r="G628" s="33">
        <f>ROUND(E628*F628,2)</f>
        <v>0</v>
      </c>
      <c r="H628" s="33">
        <f>ROUND('[1]RESUMO DA PROPOSTA'!$C$19*F628,2)</f>
        <v>2763.17</v>
      </c>
      <c r="I628" s="33">
        <f>ROUND(E628*H628,2)</f>
        <v>0</v>
      </c>
      <c r="J628" s="34"/>
    </row>
    <row r="629" spans="1:10" x14ac:dyDescent="0.25">
      <c r="A629" s="41" t="s">
        <v>1229</v>
      </c>
      <c r="B629" s="28">
        <v>5000011302</v>
      </c>
      <c r="C629" s="42" t="s">
        <v>1230</v>
      </c>
      <c r="D629" s="30" t="s">
        <v>29</v>
      </c>
      <c r="E629" s="31"/>
      <c r="F629" s="32">
        <v>1454.3</v>
      </c>
      <c r="G629" s="33">
        <f>ROUND(E629*F629,2)</f>
        <v>0</v>
      </c>
      <c r="H629" s="33">
        <f>ROUND('[1]RESUMO DA PROPOSTA'!$C$19*F629,2)</f>
        <v>2763.17</v>
      </c>
      <c r="I629" s="33">
        <f>ROUND(E629*H629,2)</f>
        <v>0</v>
      </c>
      <c r="J629" s="34"/>
    </row>
    <row r="630" spans="1:10" x14ac:dyDescent="0.25">
      <c r="A630" s="75" t="s">
        <v>1231</v>
      </c>
      <c r="B630" s="76"/>
      <c r="C630" s="77" t="s">
        <v>1068</v>
      </c>
      <c r="D630" s="78"/>
      <c r="E630" s="79"/>
      <c r="F630" s="80" t="s">
        <v>17</v>
      </c>
      <c r="G630" s="81">
        <f>SUBTOTAL(9,G631:G643)</f>
        <v>0</v>
      </c>
      <c r="H630" s="80" t="s">
        <v>17</v>
      </c>
      <c r="I630" s="81">
        <f>SUBTOTAL(9,I631:I643)</f>
        <v>0</v>
      </c>
      <c r="J630" s="82"/>
    </row>
    <row r="631" spans="1:10" x14ac:dyDescent="0.25">
      <c r="A631" s="41" t="s">
        <v>1232</v>
      </c>
      <c r="B631" s="28">
        <v>3000016137</v>
      </c>
      <c r="C631" s="42" t="s">
        <v>1233</v>
      </c>
      <c r="D631" s="30" t="s">
        <v>29</v>
      </c>
      <c r="E631" s="31"/>
      <c r="F631" s="32">
        <v>2494.1</v>
      </c>
      <c r="G631" s="33">
        <f t="shared" ref="G631:G643" si="44">ROUND(E631*F631,2)</f>
        <v>0</v>
      </c>
      <c r="H631" s="33">
        <f>ROUND('[1]RESUMO DA PROPOSTA'!$C$19*F631,2)</f>
        <v>4738.79</v>
      </c>
      <c r="I631" s="33">
        <f t="shared" ref="I631:I643" si="45">ROUND(E631*H631,2)</f>
        <v>0</v>
      </c>
      <c r="J631" s="34"/>
    </row>
    <row r="632" spans="1:10" x14ac:dyDescent="0.25">
      <c r="A632" s="41" t="s">
        <v>1234</v>
      </c>
      <c r="B632" s="28">
        <v>3000016151</v>
      </c>
      <c r="C632" s="42" t="s">
        <v>1235</v>
      </c>
      <c r="D632" s="30" t="s">
        <v>29</v>
      </c>
      <c r="E632" s="31"/>
      <c r="F632" s="32">
        <v>16111.6</v>
      </c>
      <c r="G632" s="33">
        <f t="shared" si="44"/>
        <v>0</v>
      </c>
      <c r="H632" s="33">
        <f>ROUND('[1]RESUMO DA PROPOSTA'!$C$19*F632,2)</f>
        <v>30612.04</v>
      </c>
      <c r="I632" s="33">
        <f t="shared" si="45"/>
        <v>0</v>
      </c>
      <c r="J632" s="34"/>
    </row>
    <row r="633" spans="1:10" x14ac:dyDescent="0.25">
      <c r="A633" s="41" t="s">
        <v>1236</v>
      </c>
      <c r="B633" s="28">
        <v>3000017759</v>
      </c>
      <c r="C633" s="42" t="s">
        <v>1237</v>
      </c>
      <c r="D633" s="30" t="s">
        <v>29</v>
      </c>
      <c r="E633" s="31"/>
      <c r="F633" s="32">
        <v>2328.96</v>
      </c>
      <c r="G633" s="33">
        <f t="shared" si="44"/>
        <v>0</v>
      </c>
      <c r="H633" s="33">
        <f>ROUND('[1]RESUMO DA PROPOSTA'!$C$19*F633,2)</f>
        <v>4425.0200000000004</v>
      </c>
      <c r="I633" s="33">
        <f t="shared" si="45"/>
        <v>0</v>
      </c>
      <c r="J633" s="34"/>
    </row>
    <row r="634" spans="1:10" x14ac:dyDescent="0.25">
      <c r="A634" s="41" t="s">
        <v>1238</v>
      </c>
      <c r="B634" s="28">
        <v>5000007581</v>
      </c>
      <c r="C634" s="42" t="s">
        <v>1239</v>
      </c>
      <c r="D634" s="30" t="s">
        <v>29</v>
      </c>
      <c r="E634" s="31"/>
      <c r="F634" s="32">
        <v>8130.76</v>
      </c>
      <c r="G634" s="33">
        <f t="shared" si="44"/>
        <v>0</v>
      </c>
      <c r="H634" s="33">
        <f>ROUND('[1]RESUMO DA PROPOSTA'!$C$19*F634,2)</f>
        <v>15448.44</v>
      </c>
      <c r="I634" s="33">
        <f t="shared" si="45"/>
        <v>0</v>
      </c>
      <c r="J634" s="34"/>
    </row>
    <row r="635" spans="1:10" x14ac:dyDescent="0.25">
      <c r="A635" s="41" t="s">
        <v>1240</v>
      </c>
      <c r="B635" s="28">
        <v>5000007590</v>
      </c>
      <c r="C635" s="42" t="s">
        <v>1241</v>
      </c>
      <c r="D635" s="30" t="s">
        <v>29</v>
      </c>
      <c r="E635" s="31"/>
      <c r="F635" s="32">
        <v>5425.42</v>
      </c>
      <c r="G635" s="33">
        <f t="shared" si="44"/>
        <v>0</v>
      </c>
      <c r="H635" s="33">
        <f>ROUND('[1]RESUMO DA PROPOSTA'!$C$19*F635,2)</f>
        <v>10308.299999999999</v>
      </c>
      <c r="I635" s="33">
        <f t="shared" si="45"/>
        <v>0</v>
      </c>
      <c r="J635" s="34"/>
    </row>
    <row r="636" spans="1:10" x14ac:dyDescent="0.25">
      <c r="A636" s="41" t="s">
        <v>1242</v>
      </c>
      <c r="B636" s="28">
        <v>5000007598</v>
      </c>
      <c r="C636" s="42" t="s">
        <v>1243</v>
      </c>
      <c r="D636" s="30" t="s">
        <v>29</v>
      </c>
      <c r="E636" s="31"/>
      <c r="F636" s="32">
        <v>4860.59</v>
      </c>
      <c r="G636" s="33">
        <f t="shared" si="44"/>
        <v>0</v>
      </c>
      <c r="H636" s="33">
        <f>ROUND('[1]RESUMO DA PROPOSTA'!$C$19*F636,2)</f>
        <v>9235.1200000000008</v>
      </c>
      <c r="I636" s="33">
        <f t="shared" si="45"/>
        <v>0</v>
      </c>
      <c r="J636" s="34"/>
    </row>
    <row r="637" spans="1:10" x14ac:dyDescent="0.25">
      <c r="A637" s="41" t="s">
        <v>1244</v>
      </c>
      <c r="B637" s="28">
        <v>5000007599</v>
      </c>
      <c r="C637" s="42" t="s">
        <v>1245</v>
      </c>
      <c r="D637" s="30" t="s">
        <v>29</v>
      </c>
      <c r="E637" s="31"/>
      <c r="F637" s="32">
        <v>3528.76</v>
      </c>
      <c r="G637" s="33">
        <f t="shared" si="44"/>
        <v>0</v>
      </c>
      <c r="H637" s="33">
        <f>ROUND('[1]RESUMO DA PROPOSTA'!$C$19*F637,2)</f>
        <v>6704.64</v>
      </c>
      <c r="I637" s="33">
        <f t="shared" si="45"/>
        <v>0</v>
      </c>
      <c r="J637" s="34"/>
    </row>
    <row r="638" spans="1:10" x14ac:dyDescent="0.25">
      <c r="A638" s="41" t="s">
        <v>1246</v>
      </c>
      <c r="B638" s="28">
        <v>5000007607</v>
      </c>
      <c r="C638" s="42" t="s">
        <v>1247</v>
      </c>
      <c r="D638" s="30" t="s">
        <v>29</v>
      </c>
      <c r="E638" s="31"/>
      <c r="F638" s="32">
        <v>1101.3399999999999</v>
      </c>
      <c r="G638" s="33">
        <f t="shared" si="44"/>
        <v>0</v>
      </c>
      <c r="H638" s="33">
        <f>ROUND('[1]RESUMO DA PROPOSTA'!$C$19*F638,2)</f>
        <v>2092.5500000000002</v>
      </c>
      <c r="I638" s="33">
        <f t="shared" si="45"/>
        <v>0</v>
      </c>
      <c r="J638" s="34"/>
    </row>
    <row r="639" spans="1:10" x14ac:dyDescent="0.25">
      <c r="A639" s="41" t="s">
        <v>1248</v>
      </c>
      <c r="B639" s="28">
        <v>5000007609</v>
      </c>
      <c r="C639" s="42" t="s">
        <v>1249</v>
      </c>
      <c r="D639" s="30" t="s">
        <v>29</v>
      </c>
      <c r="E639" s="31"/>
      <c r="F639" s="32">
        <v>2330.64</v>
      </c>
      <c r="G639" s="33">
        <f t="shared" si="44"/>
        <v>0</v>
      </c>
      <c r="H639" s="33">
        <f>ROUND('[1]RESUMO DA PROPOSTA'!$C$19*F639,2)</f>
        <v>4428.22</v>
      </c>
      <c r="I639" s="33">
        <f t="shared" si="45"/>
        <v>0</v>
      </c>
      <c r="J639" s="34"/>
    </row>
    <row r="640" spans="1:10" x14ac:dyDescent="0.25">
      <c r="A640" s="41" t="s">
        <v>1250</v>
      </c>
      <c r="B640" s="28">
        <v>5000007617</v>
      </c>
      <c r="C640" s="42" t="s">
        <v>1251</v>
      </c>
      <c r="D640" s="30" t="s">
        <v>29</v>
      </c>
      <c r="E640" s="31"/>
      <c r="F640" s="32">
        <v>1348.74</v>
      </c>
      <c r="G640" s="33">
        <f t="shared" si="44"/>
        <v>0</v>
      </c>
      <c r="H640" s="33">
        <f>ROUND('[1]RESUMO DA PROPOSTA'!$C$19*F640,2)</f>
        <v>2562.61</v>
      </c>
      <c r="I640" s="33">
        <f t="shared" si="45"/>
        <v>0</v>
      </c>
      <c r="J640" s="34"/>
    </row>
    <row r="641" spans="1:10" x14ac:dyDescent="0.25">
      <c r="A641" s="41" t="s">
        <v>1252</v>
      </c>
      <c r="B641" s="28">
        <v>5000007619</v>
      </c>
      <c r="C641" s="42" t="s">
        <v>1253</v>
      </c>
      <c r="D641" s="30" t="s">
        <v>29</v>
      </c>
      <c r="E641" s="31"/>
      <c r="F641" s="32">
        <v>2726.06</v>
      </c>
      <c r="G641" s="33">
        <f t="shared" si="44"/>
        <v>0</v>
      </c>
      <c r="H641" s="33">
        <f>ROUND('[1]RESUMO DA PROPOSTA'!$C$19*F641,2)</f>
        <v>5179.51</v>
      </c>
      <c r="I641" s="33">
        <f t="shared" si="45"/>
        <v>0</v>
      </c>
      <c r="J641" s="34"/>
    </row>
    <row r="642" spans="1:10" x14ac:dyDescent="0.25">
      <c r="A642" s="41" t="s">
        <v>1254</v>
      </c>
      <c r="B642" s="28">
        <v>5000011303</v>
      </c>
      <c r="C642" s="42" t="s">
        <v>1255</v>
      </c>
      <c r="D642" s="30" t="s">
        <v>29</v>
      </c>
      <c r="E642" s="31"/>
      <c r="F642" s="32">
        <v>8468.14</v>
      </c>
      <c r="G642" s="33">
        <f t="shared" si="44"/>
        <v>0</v>
      </c>
      <c r="H642" s="33">
        <f>ROUND('[1]RESUMO DA PROPOSTA'!$C$19*F642,2)</f>
        <v>16089.47</v>
      </c>
      <c r="I642" s="33">
        <f t="shared" si="45"/>
        <v>0</v>
      </c>
      <c r="J642" s="34"/>
    </row>
    <row r="643" spans="1:10" x14ac:dyDescent="0.25">
      <c r="A643" s="41" t="s">
        <v>1256</v>
      </c>
      <c r="B643" s="28">
        <v>5000011304</v>
      </c>
      <c r="C643" s="42" t="s">
        <v>1257</v>
      </c>
      <c r="D643" s="30" t="s">
        <v>29</v>
      </c>
      <c r="E643" s="31"/>
      <c r="F643" s="32">
        <v>7762.47</v>
      </c>
      <c r="G643" s="33">
        <f t="shared" si="44"/>
        <v>0</v>
      </c>
      <c r="H643" s="33">
        <f>ROUND('[1]RESUMO DA PROPOSTA'!$C$19*F643,2)</f>
        <v>14748.69</v>
      </c>
      <c r="I643" s="33">
        <f t="shared" si="45"/>
        <v>0</v>
      </c>
      <c r="J643" s="34"/>
    </row>
    <row r="644" spans="1:10" x14ac:dyDescent="0.25">
      <c r="A644" s="75" t="s">
        <v>1258</v>
      </c>
      <c r="B644" s="76"/>
      <c r="C644" s="77" t="s">
        <v>1259</v>
      </c>
      <c r="D644" s="78"/>
      <c r="E644" s="79"/>
      <c r="F644" s="80" t="s">
        <v>17</v>
      </c>
      <c r="G644" s="81">
        <f>SUBTOTAL(9,G645:G653)</f>
        <v>0</v>
      </c>
      <c r="H644" s="80" t="s">
        <v>17</v>
      </c>
      <c r="I644" s="81">
        <f>SUBTOTAL(9,I645:I653)</f>
        <v>0</v>
      </c>
      <c r="J644" s="82"/>
    </row>
    <row r="645" spans="1:10" x14ac:dyDescent="0.25">
      <c r="A645" s="41" t="s">
        <v>1260</v>
      </c>
      <c r="B645" s="28">
        <v>3000016104</v>
      </c>
      <c r="C645" s="42" t="s">
        <v>1261</v>
      </c>
      <c r="D645" s="30" t="s">
        <v>29</v>
      </c>
      <c r="E645" s="31"/>
      <c r="F645" s="32">
        <v>13748.96</v>
      </c>
      <c r="G645" s="33">
        <f t="shared" ref="G645:G653" si="46">ROUND(E645*F645,2)</f>
        <v>0</v>
      </c>
      <c r="H645" s="33">
        <f>ROUND('[1]RESUMO DA PROPOSTA'!$C$19*F645,2)</f>
        <v>26123.02</v>
      </c>
      <c r="I645" s="33">
        <f t="shared" ref="I645:I653" si="47">ROUND(E645*H645,2)</f>
        <v>0</v>
      </c>
      <c r="J645" s="34"/>
    </row>
    <row r="646" spans="1:10" ht="25.5" x14ac:dyDescent="0.25">
      <c r="A646" s="41" t="s">
        <v>1262</v>
      </c>
      <c r="B646" s="28">
        <v>3000016121</v>
      </c>
      <c r="C646" s="42" t="s">
        <v>1263</v>
      </c>
      <c r="D646" s="30" t="s">
        <v>29</v>
      </c>
      <c r="E646" s="31"/>
      <c r="F646" s="32">
        <v>1218.51</v>
      </c>
      <c r="G646" s="33">
        <f t="shared" si="46"/>
        <v>0</v>
      </c>
      <c r="H646" s="33">
        <f>ROUND('[1]RESUMO DA PROPOSTA'!$C$19*F646,2)</f>
        <v>2315.17</v>
      </c>
      <c r="I646" s="33">
        <f t="shared" si="47"/>
        <v>0</v>
      </c>
      <c r="J646" s="34"/>
    </row>
    <row r="647" spans="1:10" ht="25.5" x14ac:dyDescent="0.25">
      <c r="A647" s="41" t="s">
        <v>1264</v>
      </c>
      <c r="B647" s="28">
        <v>3000016138</v>
      </c>
      <c r="C647" s="42" t="s">
        <v>1265</v>
      </c>
      <c r="D647" s="30" t="s">
        <v>29</v>
      </c>
      <c r="E647" s="31"/>
      <c r="F647" s="32">
        <v>877.15</v>
      </c>
      <c r="G647" s="33">
        <f t="shared" si="46"/>
        <v>0</v>
      </c>
      <c r="H647" s="33">
        <f>ROUND('[1]RESUMO DA PROPOSTA'!$C$19*F647,2)</f>
        <v>1666.59</v>
      </c>
      <c r="I647" s="33">
        <f t="shared" si="47"/>
        <v>0</v>
      </c>
      <c r="J647" s="34"/>
    </row>
    <row r="648" spans="1:10" x14ac:dyDescent="0.25">
      <c r="A648" s="41" t="s">
        <v>1266</v>
      </c>
      <c r="B648" s="28">
        <v>3000016249</v>
      </c>
      <c r="C648" s="42" t="s">
        <v>1267</v>
      </c>
      <c r="D648" s="30" t="s">
        <v>29</v>
      </c>
      <c r="E648" s="31"/>
      <c r="F648" s="32">
        <v>1101.3399999999999</v>
      </c>
      <c r="G648" s="33">
        <f t="shared" si="46"/>
        <v>0</v>
      </c>
      <c r="H648" s="33">
        <f>ROUND('[1]RESUMO DA PROPOSTA'!$C$19*F648,2)</f>
        <v>2092.5500000000002</v>
      </c>
      <c r="I648" s="33">
        <f t="shared" si="47"/>
        <v>0</v>
      </c>
      <c r="J648" s="34"/>
    </row>
    <row r="649" spans="1:10" ht="25.5" x14ac:dyDescent="0.25">
      <c r="A649" s="41" t="s">
        <v>1268</v>
      </c>
      <c r="B649" s="28">
        <v>3000016251</v>
      </c>
      <c r="C649" s="42" t="s">
        <v>1269</v>
      </c>
      <c r="D649" s="30" t="s">
        <v>29</v>
      </c>
      <c r="E649" s="31"/>
      <c r="F649" s="32">
        <v>130.81</v>
      </c>
      <c r="G649" s="33">
        <f t="shared" si="46"/>
        <v>0</v>
      </c>
      <c r="H649" s="33">
        <f>ROUND('[1]RESUMO DA PROPOSTA'!$C$19*F649,2)</f>
        <v>248.54</v>
      </c>
      <c r="I649" s="33">
        <f t="shared" si="47"/>
        <v>0</v>
      </c>
      <c r="J649" s="34"/>
    </row>
    <row r="650" spans="1:10" x14ac:dyDescent="0.25">
      <c r="A650" s="41" t="s">
        <v>1270</v>
      </c>
      <c r="B650" s="28">
        <v>3000016361</v>
      </c>
      <c r="C650" s="42" t="s">
        <v>1271</v>
      </c>
      <c r="D650" s="30" t="s">
        <v>29</v>
      </c>
      <c r="E650" s="31"/>
      <c r="F650" s="32">
        <v>2701.82</v>
      </c>
      <c r="G650" s="33">
        <f t="shared" si="46"/>
        <v>0</v>
      </c>
      <c r="H650" s="33">
        <f>ROUND('[1]RESUMO DA PROPOSTA'!$C$19*F650,2)</f>
        <v>5133.46</v>
      </c>
      <c r="I650" s="33">
        <f t="shared" si="47"/>
        <v>0</v>
      </c>
      <c r="J650" s="34"/>
    </row>
    <row r="651" spans="1:10" x14ac:dyDescent="0.25">
      <c r="A651" s="41" t="s">
        <v>1272</v>
      </c>
      <c r="B651" s="28">
        <v>5000007634</v>
      </c>
      <c r="C651" s="42" t="s">
        <v>1273</v>
      </c>
      <c r="D651" s="30" t="s">
        <v>29</v>
      </c>
      <c r="E651" s="31"/>
      <c r="F651" s="32">
        <v>1573.69</v>
      </c>
      <c r="G651" s="33">
        <f t="shared" si="46"/>
        <v>0</v>
      </c>
      <c r="H651" s="33">
        <f>ROUND('[1]RESUMO DA PROPOSTA'!$C$19*F651,2)</f>
        <v>2990.01</v>
      </c>
      <c r="I651" s="33">
        <f t="shared" si="47"/>
        <v>0</v>
      </c>
      <c r="J651" s="34"/>
    </row>
    <row r="652" spans="1:10" x14ac:dyDescent="0.25">
      <c r="A652" s="41" t="s">
        <v>1274</v>
      </c>
      <c r="B652" s="28">
        <v>5000007641</v>
      </c>
      <c r="C652" s="42" t="s">
        <v>1275</v>
      </c>
      <c r="D652" s="30" t="s">
        <v>29</v>
      </c>
      <c r="E652" s="31"/>
      <c r="F652" s="32">
        <v>8155.08</v>
      </c>
      <c r="G652" s="33">
        <f t="shared" si="46"/>
        <v>0</v>
      </c>
      <c r="H652" s="33">
        <f>ROUND('[1]RESUMO DA PROPOSTA'!$C$19*F652,2)</f>
        <v>15494.65</v>
      </c>
      <c r="I652" s="33">
        <f t="shared" si="47"/>
        <v>0</v>
      </c>
      <c r="J652" s="34"/>
    </row>
    <row r="653" spans="1:10" x14ac:dyDescent="0.25">
      <c r="A653" s="41" t="s">
        <v>1276</v>
      </c>
      <c r="B653" s="28">
        <v>5000011305</v>
      </c>
      <c r="C653" s="42" t="s">
        <v>1277</v>
      </c>
      <c r="D653" s="30" t="s">
        <v>29</v>
      </c>
      <c r="E653" s="31"/>
      <c r="F653" s="32">
        <v>1158.51</v>
      </c>
      <c r="G653" s="33">
        <f t="shared" si="46"/>
        <v>0</v>
      </c>
      <c r="H653" s="33">
        <f>ROUND('[1]RESUMO DA PROPOSTA'!$C$19*F653,2)</f>
        <v>2201.17</v>
      </c>
      <c r="I653" s="33">
        <f t="shared" si="47"/>
        <v>0</v>
      </c>
      <c r="J653" s="34"/>
    </row>
    <row r="654" spans="1:10" x14ac:dyDescent="0.25">
      <c r="A654" s="67" t="s">
        <v>1278</v>
      </c>
      <c r="B654" s="68"/>
      <c r="C654" s="69" t="s">
        <v>1133</v>
      </c>
      <c r="D654" s="70"/>
      <c r="E654" s="71"/>
      <c r="F654" s="72" t="s">
        <v>17</v>
      </c>
      <c r="G654" s="73">
        <f>SUBTOTAL(9,G655:G659)</f>
        <v>0</v>
      </c>
      <c r="H654" s="72" t="s">
        <v>17</v>
      </c>
      <c r="I654" s="73">
        <f>SUBTOTAL(9,I655:I659)</f>
        <v>0</v>
      </c>
      <c r="J654" s="74"/>
    </row>
    <row r="655" spans="1:10" x14ac:dyDescent="0.25">
      <c r="A655" s="75" t="s">
        <v>1279</v>
      </c>
      <c r="B655" s="76"/>
      <c r="C655" s="77" t="s">
        <v>1135</v>
      </c>
      <c r="D655" s="78"/>
      <c r="E655" s="79"/>
      <c r="F655" s="80" t="s">
        <v>17</v>
      </c>
      <c r="G655" s="81">
        <f>SUBTOTAL(9,G656:G657)</f>
        <v>0</v>
      </c>
      <c r="H655" s="80" t="s">
        <v>17</v>
      </c>
      <c r="I655" s="81">
        <f>SUBTOTAL(9,I656:I657)</f>
        <v>0</v>
      </c>
      <c r="J655" s="82"/>
    </row>
    <row r="656" spans="1:10" x14ac:dyDescent="0.25">
      <c r="A656" s="41" t="s">
        <v>1280</v>
      </c>
      <c r="B656" s="28">
        <v>5000006700</v>
      </c>
      <c r="C656" s="42" t="s">
        <v>1281</v>
      </c>
      <c r="D656" s="30" t="s">
        <v>254</v>
      </c>
      <c r="E656" s="31"/>
      <c r="F656" s="32">
        <v>5889.17</v>
      </c>
      <c r="G656" s="33">
        <f>ROUND(E656*F656,2)</f>
        <v>0</v>
      </c>
      <c r="H656" s="33">
        <f>ROUND('[1]RESUMO DA PROPOSTA'!$C$19*F656,2)</f>
        <v>11189.42</v>
      </c>
      <c r="I656" s="33">
        <f>ROUND(E656*H656,2)</f>
        <v>0</v>
      </c>
      <c r="J656" s="34"/>
    </row>
    <row r="657" spans="1:10" x14ac:dyDescent="0.25">
      <c r="A657" s="83" t="s">
        <v>1282</v>
      </c>
      <c r="B657" s="84">
        <v>5000006701</v>
      </c>
      <c r="C657" s="85" t="s">
        <v>1283</v>
      </c>
      <c r="D657" s="86" t="s">
        <v>120</v>
      </c>
      <c r="E657" s="87"/>
      <c r="F657" s="88">
        <v>6.34</v>
      </c>
      <c r="G657" s="89">
        <f>ROUND(E657*F657,2)</f>
        <v>0</v>
      </c>
      <c r="H657" s="89">
        <f>ROUND('[1]RESUMO DA PROPOSTA'!$C$19*F657,2)</f>
        <v>12.05</v>
      </c>
      <c r="I657" s="89">
        <f>ROUND(E657*H657,2)</f>
        <v>0</v>
      </c>
      <c r="J657" s="90"/>
    </row>
    <row r="658" spans="1:10" x14ac:dyDescent="0.25">
      <c r="A658" s="75" t="s">
        <v>1284</v>
      </c>
      <c r="B658" s="76"/>
      <c r="C658" s="77" t="s">
        <v>1143</v>
      </c>
      <c r="D658" s="78"/>
      <c r="E658" s="79"/>
      <c r="F658" s="80" t="s">
        <v>17</v>
      </c>
      <c r="G658" s="81">
        <f>SUBTOTAL(9,G659:G659)</f>
        <v>0</v>
      </c>
      <c r="H658" s="80" t="s">
        <v>17</v>
      </c>
      <c r="I658" s="81">
        <f>SUBTOTAL(9,I659:I659)</f>
        <v>0</v>
      </c>
      <c r="J658" s="82"/>
    </row>
    <row r="659" spans="1:10" x14ac:dyDescent="0.25">
      <c r="A659" s="83" t="s">
        <v>1285</v>
      </c>
      <c r="B659" s="91">
        <v>5000011306</v>
      </c>
      <c r="C659" s="92" t="s">
        <v>1286</v>
      </c>
      <c r="D659" s="93" t="s">
        <v>29</v>
      </c>
      <c r="E659" s="94"/>
      <c r="F659" s="95">
        <v>1454.3</v>
      </c>
      <c r="G659" s="96">
        <f>ROUND(E659*F659,2)</f>
        <v>0</v>
      </c>
      <c r="H659" s="96">
        <f>ROUND('[1]RESUMO DA PROPOSTA'!$C$19*F659,2)</f>
        <v>2763.17</v>
      </c>
      <c r="I659" s="96">
        <f>ROUND(E659*H659,2)</f>
        <v>0</v>
      </c>
      <c r="J659" s="97"/>
    </row>
    <row r="660" spans="1:10" ht="25.5" x14ac:dyDescent="0.25">
      <c r="A660" s="67" t="s">
        <v>1287</v>
      </c>
      <c r="B660" s="68"/>
      <c r="C660" s="69" t="s">
        <v>1288</v>
      </c>
      <c r="D660" s="70"/>
      <c r="E660" s="71"/>
      <c r="F660" s="72" t="s">
        <v>17</v>
      </c>
      <c r="G660" s="73">
        <f>SUBTOTAL(9,G661:G662)</f>
        <v>0</v>
      </c>
      <c r="H660" s="72" t="s">
        <v>17</v>
      </c>
      <c r="I660" s="73">
        <f>SUBTOTAL(9,I661:I662)</f>
        <v>0</v>
      </c>
      <c r="J660" s="74"/>
    </row>
    <row r="661" spans="1:10" x14ac:dyDescent="0.25">
      <c r="A661" s="41" t="s">
        <v>1289</v>
      </c>
      <c r="B661" s="52">
        <v>5000007549</v>
      </c>
      <c r="C661" s="53" t="s">
        <v>1290</v>
      </c>
      <c r="D661" s="98" t="s">
        <v>29</v>
      </c>
      <c r="E661" s="99"/>
      <c r="F661" s="55">
        <v>237.81</v>
      </c>
      <c r="G661" s="56">
        <f>ROUND(E661*F661,2)</f>
        <v>0</v>
      </c>
      <c r="H661" s="56">
        <f>ROUND('[1]RESUMO DA PROPOSTA'!$C$19*F661,2)</f>
        <v>451.84</v>
      </c>
      <c r="I661" s="56">
        <f>ROUND(E661*H661,2)</f>
        <v>0</v>
      </c>
      <c r="J661" s="57"/>
    </row>
    <row r="662" spans="1:10" x14ac:dyDescent="0.25">
      <c r="A662" s="41" t="s">
        <v>1291</v>
      </c>
      <c r="B662" s="28">
        <v>5000007699</v>
      </c>
      <c r="C662" s="42" t="s">
        <v>1292</v>
      </c>
      <c r="D662" s="30" t="s">
        <v>29</v>
      </c>
      <c r="E662" s="31"/>
      <c r="F662" s="32">
        <v>40.840000000000003</v>
      </c>
      <c r="G662" s="33">
        <f>ROUND(E662*F662,2)</f>
        <v>0</v>
      </c>
      <c r="H662" s="33">
        <f>ROUND('[1]RESUMO DA PROPOSTA'!$C$19*F662,2)</f>
        <v>77.599999999999994</v>
      </c>
      <c r="I662" s="33">
        <f>ROUND(E662*H662,2)</f>
        <v>0</v>
      </c>
      <c r="J662" s="34"/>
    </row>
    <row r="663" spans="1:10" ht="15.75" x14ac:dyDescent="0.25">
      <c r="A663" s="18" t="s">
        <v>1293</v>
      </c>
      <c r="B663" s="19"/>
      <c r="C663" s="20" t="s">
        <v>1294</v>
      </c>
      <c r="D663" s="21"/>
      <c r="E663" s="40"/>
      <c r="F663" s="23" t="s">
        <v>17</v>
      </c>
      <c r="G663" s="24">
        <f>SUBTOTAL(9,G664:G741)</f>
        <v>0</v>
      </c>
      <c r="H663" s="25" t="s">
        <v>17</v>
      </c>
      <c r="I663" s="24">
        <f>SUBTOTAL(9,I664:I741)</f>
        <v>0</v>
      </c>
      <c r="J663" s="26"/>
    </row>
    <row r="664" spans="1:10" ht="15.75" x14ac:dyDescent="0.25">
      <c r="A664" s="43" t="s">
        <v>1295</v>
      </c>
      <c r="B664" s="44"/>
      <c r="C664" s="45" t="s">
        <v>1296</v>
      </c>
      <c r="D664" s="46"/>
      <c r="E664" s="47"/>
      <c r="F664" s="48" t="s">
        <v>17</v>
      </c>
      <c r="G664" s="49">
        <f>SUBTOTAL(9,G665:G680)</f>
        <v>0</v>
      </c>
      <c r="H664" s="48" t="s">
        <v>17</v>
      </c>
      <c r="I664" s="49">
        <f>SUBTOTAL(9,I665:I680)</f>
        <v>0</v>
      </c>
      <c r="J664" s="50"/>
    </row>
    <row r="665" spans="1:10" x14ac:dyDescent="0.25">
      <c r="A665" s="51" t="s">
        <v>1297</v>
      </c>
      <c r="B665" s="28">
        <v>5000011307</v>
      </c>
      <c r="C665" s="42" t="s">
        <v>1298</v>
      </c>
      <c r="D665" s="30" t="s">
        <v>29</v>
      </c>
      <c r="E665" s="31"/>
      <c r="F665" s="32">
        <v>751.51</v>
      </c>
      <c r="G665" s="33">
        <f t="shared" ref="G665:G680" si="48">ROUND(E665*F665,2)</f>
        <v>0</v>
      </c>
      <c r="H665" s="33">
        <f>ROUND('[1]RESUMO DA PROPOSTA'!$C$20*F665,2)</f>
        <v>1322.66</v>
      </c>
      <c r="I665" s="33">
        <f t="shared" ref="I665:I680" si="49">ROUND(E665*H665,2)</f>
        <v>0</v>
      </c>
      <c r="J665" s="34"/>
    </row>
    <row r="666" spans="1:10" x14ac:dyDescent="0.25">
      <c r="A666" s="51" t="s">
        <v>1299</v>
      </c>
      <c r="B666" s="28">
        <v>5000011308</v>
      </c>
      <c r="C666" s="42" t="s">
        <v>1300</v>
      </c>
      <c r="D666" s="30" t="s">
        <v>29</v>
      </c>
      <c r="E666" s="31"/>
      <c r="F666" s="32">
        <v>1359.87</v>
      </c>
      <c r="G666" s="33">
        <f t="shared" si="48"/>
        <v>0</v>
      </c>
      <c r="H666" s="33">
        <f>ROUND('[1]RESUMO DA PROPOSTA'!$C$20*F666,2)</f>
        <v>2393.37</v>
      </c>
      <c r="I666" s="33">
        <f t="shared" si="49"/>
        <v>0</v>
      </c>
      <c r="J666" s="34"/>
    </row>
    <row r="667" spans="1:10" x14ac:dyDescent="0.25">
      <c r="A667" s="51" t="s">
        <v>1301</v>
      </c>
      <c r="B667" s="28">
        <v>5000011309</v>
      </c>
      <c r="C667" s="42" t="s">
        <v>1302</v>
      </c>
      <c r="D667" s="30" t="s">
        <v>29</v>
      </c>
      <c r="E667" s="31"/>
      <c r="F667" s="32">
        <v>724</v>
      </c>
      <c r="G667" s="33">
        <f t="shared" si="48"/>
        <v>0</v>
      </c>
      <c r="H667" s="33">
        <f>ROUND('[1]RESUMO DA PROPOSTA'!$C$20*F667,2)</f>
        <v>1274.24</v>
      </c>
      <c r="I667" s="33">
        <f t="shared" si="49"/>
        <v>0</v>
      </c>
      <c r="J667" s="34"/>
    </row>
    <row r="668" spans="1:10" x14ac:dyDescent="0.25">
      <c r="A668" s="51" t="s">
        <v>1303</v>
      </c>
      <c r="B668" s="28">
        <v>5000011310</v>
      </c>
      <c r="C668" s="42" t="s">
        <v>1304</v>
      </c>
      <c r="D668" s="30" t="s">
        <v>29</v>
      </c>
      <c r="E668" s="31"/>
      <c r="F668" s="32">
        <v>333.2</v>
      </c>
      <c r="G668" s="33">
        <f t="shared" si="48"/>
        <v>0</v>
      </c>
      <c r="H668" s="33">
        <f>ROUND('[1]RESUMO DA PROPOSTA'!$C$20*F668,2)</f>
        <v>586.42999999999995</v>
      </c>
      <c r="I668" s="33">
        <f t="shared" si="49"/>
        <v>0</v>
      </c>
      <c r="J668" s="34"/>
    </row>
    <row r="669" spans="1:10" x14ac:dyDescent="0.25">
      <c r="A669" s="51" t="s">
        <v>1305</v>
      </c>
      <c r="B669" s="28">
        <v>5000011311</v>
      </c>
      <c r="C669" s="42" t="s">
        <v>1306</v>
      </c>
      <c r="D669" s="30" t="s">
        <v>29</v>
      </c>
      <c r="E669" s="31"/>
      <c r="F669" s="32">
        <v>1034.29</v>
      </c>
      <c r="G669" s="33">
        <f t="shared" si="48"/>
        <v>0</v>
      </c>
      <c r="H669" s="33">
        <f>ROUND('[1]RESUMO DA PROPOSTA'!$C$20*F669,2)</f>
        <v>1820.35</v>
      </c>
      <c r="I669" s="33">
        <f t="shared" si="49"/>
        <v>0</v>
      </c>
      <c r="J669" s="34"/>
    </row>
    <row r="670" spans="1:10" x14ac:dyDescent="0.25">
      <c r="A670" s="51" t="s">
        <v>1307</v>
      </c>
      <c r="B670" s="28">
        <v>5000011312</v>
      </c>
      <c r="C670" s="42" t="s">
        <v>1308</v>
      </c>
      <c r="D670" s="30" t="s">
        <v>29</v>
      </c>
      <c r="E670" s="31"/>
      <c r="F670" s="32">
        <v>583.02</v>
      </c>
      <c r="G670" s="33">
        <f t="shared" si="48"/>
        <v>0</v>
      </c>
      <c r="H670" s="33">
        <f>ROUND('[1]RESUMO DA PROPOSTA'!$C$20*F670,2)</f>
        <v>1026.1199999999999</v>
      </c>
      <c r="I670" s="33">
        <f t="shared" si="49"/>
        <v>0</v>
      </c>
      <c r="J670" s="34"/>
    </row>
    <row r="671" spans="1:10" x14ac:dyDescent="0.25">
      <c r="A671" s="51" t="s">
        <v>1309</v>
      </c>
      <c r="B671" s="28">
        <v>5000011313</v>
      </c>
      <c r="C671" s="42" t="s">
        <v>1310</v>
      </c>
      <c r="D671" s="30" t="s">
        <v>29</v>
      </c>
      <c r="E671" s="31"/>
      <c r="F671" s="32">
        <v>1145.23</v>
      </c>
      <c r="G671" s="33">
        <f t="shared" si="48"/>
        <v>0</v>
      </c>
      <c r="H671" s="33">
        <f>ROUND('[1]RESUMO DA PROPOSTA'!$C$20*F671,2)</f>
        <v>2015.6</v>
      </c>
      <c r="I671" s="33">
        <f t="shared" si="49"/>
        <v>0</v>
      </c>
      <c r="J671" s="34"/>
    </row>
    <row r="672" spans="1:10" x14ac:dyDescent="0.25">
      <c r="A672" s="51" t="s">
        <v>1311</v>
      </c>
      <c r="B672" s="28">
        <v>5000011314</v>
      </c>
      <c r="C672" s="42" t="s">
        <v>1312</v>
      </c>
      <c r="D672" s="30" t="s">
        <v>29</v>
      </c>
      <c r="E672" s="31"/>
      <c r="F672" s="32">
        <v>927.09</v>
      </c>
      <c r="G672" s="33">
        <f t="shared" si="48"/>
        <v>0</v>
      </c>
      <c r="H672" s="33">
        <f>ROUND('[1]RESUMO DA PROPOSTA'!$C$20*F672,2)</f>
        <v>1631.68</v>
      </c>
      <c r="I672" s="33">
        <f t="shared" si="49"/>
        <v>0</v>
      </c>
      <c r="J672" s="34"/>
    </row>
    <row r="673" spans="1:10" x14ac:dyDescent="0.25">
      <c r="A673" s="51" t="s">
        <v>1313</v>
      </c>
      <c r="B673" s="28">
        <v>5000011315</v>
      </c>
      <c r="C673" s="42" t="s">
        <v>1314</v>
      </c>
      <c r="D673" s="30" t="s">
        <v>29</v>
      </c>
      <c r="E673" s="31"/>
      <c r="F673" s="32">
        <v>982.57</v>
      </c>
      <c r="G673" s="33">
        <f t="shared" si="48"/>
        <v>0</v>
      </c>
      <c r="H673" s="33">
        <f>ROUND('[1]RESUMO DA PROPOSTA'!$C$20*F673,2)</f>
        <v>1729.32</v>
      </c>
      <c r="I673" s="33">
        <f t="shared" si="49"/>
        <v>0</v>
      </c>
      <c r="J673" s="34"/>
    </row>
    <row r="674" spans="1:10" x14ac:dyDescent="0.25">
      <c r="A674" s="51" t="s">
        <v>1315</v>
      </c>
      <c r="B674" s="28">
        <v>5000011316</v>
      </c>
      <c r="C674" s="42" t="s">
        <v>1316</v>
      </c>
      <c r="D674" s="30" t="s">
        <v>29</v>
      </c>
      <c r="E674" s="31"/>
      <c r="F674" s="32">
        <v>531.99</v>
      </c>
      <c r="G674" s="33">
        <f t="shared" si="48"/>
        <v>0</v>
      </c>
      <c r="H674" s="33">
        <f>ROUND('[1]RESUMO DA PROPOSTA'!$C$20*F674,2)</f>
        <v>936.3</v>
      </c>
      <c r="I674" s="33">
        <f t="shared" si="49"/>
        <v>0</v>
      </c>
      <c r="J674" s="34"/>
    </row>
    <row r="675" spans="1:10" x14ac:dyDescent="0.25">
      <c r="A675" s="51" t="s">
        <v>1317</v>
      </c>
      <c r="B675" s="28">
        <v>5000011317</v>
      </c>
      <c r="C675" s="42" t="s">
        <v>1318</v>
      </c>
      <c r="D675" s="30" t="s">
        <v>29</v>
      </c>
      <c r="E675" s="31"/>
      <c r="F675" s="32">
        <v>409.82</v>
      </c>
      <c r="G675" s="33">
        <f t="shared" si="48"/>
        <v>0</v>
      </c>
      <c r="H675" s="33">
        <f>ROUND('[1]RESUMO DA PROPOSTA'!$C$20*F675,2)</f>
        <v>721.28</v>
      </c>
      <c r="I675" s="33">
        <f t="shared" si="49"/>
        <v>0</v>
      </c>
      <c r="J675" s="34"/>
    </row>
    <row r="676" spans="1:10" x14ac:dyDescent="0.25">
      <c r="A676" s="51" t="s">
        <v>1319</v>
      </c>
      <c r="B676" s="28">
        <v>5000011318</v>
      </c>
      <c r="C676" s="42" t="s">
        <v>1320</v>
      </c>
      <c r="D676" s="30" t="s">
        <v>29</v>
      </c>
      <c r="E676" s="31"/>
      <c r="F676" s="32">
        <v>497.98</v>
      </c>
      <c r="G676" s="33">
        <f t="shared" si="48"/>
        <v>0</v>
      </c>
      <c r="H676" s="33">
        <f>ROUND('[1]RESUMO DA PROPOSTA'!$C$20*F676,2)</f>
        <v>876.44</v>
      </c>
      <c r="I676" s="33">
        <f t="shared" si="49"/>
        <v>0</v>
      </c>
      <c r="J676" s="34"/>
    </row>
    <row r="677" spans="1:10" x14ac:dyDescent="0.25">
      <c r="A677" s="51" t="s">
        <v>1321</v>
      </c>
      <c r="B677" s="28">
        <v>5000011319</v>
      </c>
      <c r="C677" s="42" t="s">
        <v>1322</v>
      </c>
      <c r="D677" s="30" t="s">
        <v>29</v>
      </c>
      <c r="E677" s="31"/>
      <c r="F677" s="32">
        <v>360.58</v>
      </c>
      <c r="G677" s="33">
        <f t="shared" si="48"/>
        <v>0</v>
      </c>
      <c r="H677" s="33">
        <f>ROUND('[1]RESUMO DA PROPOSTA'!$C$20*F677,2)</f>
        <v>634.62</v>
      </c>
      <c r="I677" s="33">
        <f t="shared" si="49"/>
        <v>0</v>
      </c>
      <c r="J677" s="34"/>
    </row>
    <row r="678" spans="1:10" x14ac:dyDescent="0.25">
      <c r="A678" s="51" t="s">
        <v>1323</v>
      </c>
      <c r="B678" s="28">
        <v>5000011320</v>
      </c>
      <c r="C678" s="42" t="s">
        <v>1324</v>
      </c>
      <c r="D678" s="30" t="s">
        <v>29</v>
      </c>
      <c r="E678" s="31"/>
      <c r="F678" s="32">
        <v>1979.97</v>
      </c>
      <c r="G678" s="33">
        <f t="shared" si="48"/>
        <v>0</v>
      </c>
      <c r="H678" s="33">
        <f>ROUND('[1]RESUMO DA PROPOSTA'!$C$20*F678,2)</f>
        <v>3484.75</v>
      </c>
      <c r="I678" s="33">
        <f t="shared" si="49"/>
        <v>0</v>
      </c>
      <c r="J678" s="34"/>
    </row>
    <row r="679" spans="1:10" x14ac:dyDescent="0.25">
      <c r="A679" s="51" t="s">
        <v>1325</v>
      </c>
      <c r="B679" s="28">
        <v>5000011321</v>
      </c>
      <c r="C679" s="42" t="s">
        <v>1326</v>
      </c>
      <c r="D679" s="30" t="s">
        <v>29</v>
      </c>
      <c r="E679" s="31"/>
      <c r="F679" s="32">
        <v>1861.72</v>
      </c>
      <c r="G679" s="33">
        <f t="shared" si="48"/>
        <v>0</v>
      </c>
      <c r="H679" s="33">
        <f>ROUND('[1]RESUMO DA PROPOSTA'!$C$20*F679,2)</f>
        <v>3276.63</v>
      </c>
      <c r="I679" s="33">
        <f t="shared" si="49"/>
        <v>0</v>
      </c>
      <c r="J679" s="34"/>
    </row>
    <row r="680" spans="1:10" x14ac:dyDescent="0.25">
      <c r="A680" s="51" t="s">
        <v>1327</v>
      </c>
      <c r="B680" s="28">
        <v>5000011322</v>
      </c>
      <c r="C680" s="42" t="s">
        <v>1328</v>
      </c>
      <c r="D680" s="30" t="s">
        <v>29</v>
      </c>
      <c r="E680" s="31"/>
      <c r="F680" s="32">
        <v>1551.43</v>
      </c>
      <c r="G680" s="33">
        <f t="shared" si="48"/>
        <v>0</v>
      </c>
      <c r="H680" s="33">
        <f>ROUND('[1]RESUMO DA PROPOSTA'!$C$20*F680,2)</f>
        <v>2730.52</v>
      </c>
      <c r="I680" s="33">
        <f t="shared" si="49"/>
        <v>0</v>
      </c>
      <c r="J680" s="34"/>
    </row>
    <row r="681" spans="1:10" ht="15.75" x14ac:dyDescent="0.25">
      <c r="A681" s="43" t="s">
        <v>1329</v>
      </c>
      <c r="B681" s="44"/>
      <c r="C681" s="45" t="s">
        <v>1330</v>
      </c>
      <c r="D681" s="46"/>
      <c r="E681" s="47"/>
      <c r="F681" s="48" t="s">
        <v>17</v>
      </c>
      <c r="G681" s="49">
        <f>SUBTOTAL(9,G682:G698)</f>
        <v>0</v>
      </c>
      <c r="H681" s="48" t="s">
        <v>17</v>
      </c>
      <c r="I681" s="49">
        <f>SUBTOTAL(9,I682:I698)</f>
        <v>0</v>
      </c>
      <c r="J681" s="50"/>
    </row>
    <row r="682" spans="1:10" x14ac:dyDescent="0.25">
      <c r="A682" s="51" t="s">
        <v>1331</v>
      </c>
      <c r="B682" s="28">
        <v>5000011323</v>
      </c>
      <c r="C682" s="42" t="s">
        <v>1332</v>
      </c>
      <c r="D682" s="30" t="s">
        <v>29</v>
      </c>
      <c r="E682" s="31"/>
      <c r="F682" s="32">
        <v>1818.85</v>
      </c>
      <c r="G682" s="33">
        <f t="shared" ref="G682:G698" si="50">ROUND(E682*F682,2)</f>
        <v>0</v>
      </c>
      <c r="H682" s="33">
        <f>ROUND('[1]RESUMO DA PROPOSTA'!$C$20*F682,2)</f>
        <v>3201.18</v>
      </c>
      <c r="I682" s="33">
        <f t="shared" ref="I682:I698" si="51">ROUND(E682*H682,2)</f>
        <v>0</v>
      </c>
      <c r="J682" s="34"/>
    </row>
    <row r="683" spans="1:10" x14ac:dyDescent="0.25">
      <c r="A683" s="51" t="s">
        <v>1333</v>
      </c>
      <c r="B683" s="28">
        <v>5000011324</v>
      </c>
      <c r="C683" s="42" t="s">
        <v>1334</v>
      </c>
      <c r="D683" s="30" t="s">
        <v>29</v>
      </c>
      <c r="E683" s="31"/>
      <c r="F683" s="32">
        <v>1862.14</v>
      </c>
      <c r="G683" s="33">
        <f t="shared" si="50"/>
        <v>0</v>
      </c>
      <c r="H683" s="33">
        <f>ROUND('[1]RESUMO DA PROPOSTA'!$C$20*F683,2)</f>
        <v>3277.37</v>
      </c>
      <c r="I683" s="33">
        <f t="shared" si="51"/>
        <v>0</v>
      </c>
      <c r="J683" s="34"/>
    </row>
    <row r="684" spans="1:10" x14ac:dyDescent="0.25">
      <c r="A684" s="51" t="s">
        <v>1335</v>
      </c>
      <c r="B684" s="28">
        <v>5000011325</v>
      </c>
      <c r="C684" s="42" t="s">
        <v>1336</v>
      </c>
      <c r="D684" s="30" t="s">
        <v>29</v>
      </c>
      <c r="E684" s="31"/>
      <c r="F684" s="32">
        <v>1569.21</v>
      </c>
      <c r="G684" s="33">
        <f t="shared" si="50"/>
        <v>0</v>
      </c>
      <c r="H684" s="33">
        <f>ROUND('[1]RESUMO DA PROPOSTA'!$C$20*F684,2)</f>
        <v>2761.81</v>
      </c>
      <c r="I684" s="33">
        <f t="shared" si="51"/>
        <v>0</v>
      </c>
      <c r="J684" s="34"/>
    </row>
    <row r="685" spans="1:10" x14ac:dyDescent="0.25">
      <c r="A685" s="51" t="s">
        <v>1337</v>
      </c>
      <c r="B685" s="28">
        <v>5000011326</v>
      </c>
      <c r="C685" s="42" t="s">
        <v>1338</v>
      </c>
      <c r="D685" s="30" t="s">
        <v>29</v>
      </c>
      <c r="E685" s="31"/>
      <c r="F685" s="32">
        <v>2224.2199999999998</v>
      </c>
      <c r="G685" s="33">
        <f t="shared" si="50"/>
        <v>0</v>
      </c>
      <c r="H685" s="33">
        <f>ROUND('[1]RESUMO DA PROPOSTA'!$C$20*F685,2)</f>
        <v>3914.63</v>
      </c>
      <c r="I685" s="33">
        <f t="shared" si="51"/>
        <v>0</v>
      </c>
      <c r="J685" s="34"/>
    </row>
    <row r="686" spans="1:10" x14ac:dyDescent="0.25">
      <c r="A686" s="51" t="s">
        <v>1339</v>
      </c>
      <c r="B686" s="28">
        <v>5000011327</v>
      </c>
      <c r="C686" s="42" t="s">
        <v>1340</v>
      </c>
      <c r="D686" s="30" t="s">
        <v>29</v>
      </c>
      <c r="E686" s="31"/>
      <c r="F686" s="32">
        <v>1569.21</v>
      </c>
      <c r="G686" s="33">
        <f t="shared" si="50"/>
        <v>0</v>
      </c>
      <c r="H686" s="33">
        <f>ROUND('[1]RESUMO DA PROPOSTA'!$C$20*F686,2)</f>
        <v>2761.81</v>
      </c>
      <c r="I686" s="33">
        <f t="shared" si="51"/>
        <v>0</v>
      </c>
      <c r="J686" s="34"/>
    </row>
    <row r="687" spans="1:10" x14ac:dyDescent="0.25">
      <c r="A687" s="51" t="s">
        <v>1341</v>
      </c>
      <c r="B687" s="28">
        <v>5000011328</v>
      </c>
      <c r="C687" s="42" t="s">
        <v>1342</v>
      </c>
      <c r="D687" s="30" t="s">
        <v>29</v>
      </c>
      <c r="E687" s="31"/>
      <c r="F687" s="32">
        <v>1189.7</v>
      </c>
      <c r="G687" s="33">
        <f t="shared" si="50"/>
        <v>0</v>
      </c>
      <c r="H687" s="33">
        <f>ROUND('[1]RESUMO DA PROPOSTA'!$C$20*F687,2)</f>
        <v>2093.87</v>
      </c>
      <c r="I687" s="33">
        <f t="shared" si="51"/>
        <v>0</v>
      </c>
      <c r="J687" s="34"/>
    </row>
    <row r="688" spans="1:10" x14ac:dyDescent="0.25">
      <c r="A688" s="51" t="s">
        <v>1343</v>
      </c>
      <c r="B688" s="28">
        <v>5000011329</v>
      </c>
      <c r="C688" s="42" t="s">
        <v>1344</v>
      </c>
      <c r="D688" s="30" t="s">
        <v>29</v>
      </c>
      <c r="E688" s="31"/>
      <c r="F688" s="32">
        <v>3103.56</v>
      </c>
      <c r="G688" s="33">
        <f t="shared" si="50"/>
        <v>0</v>
      </c>
      <c r="H688" s="33">
        <f>ROUND('[1]RESUMO DA PROPOSTA'!$C$20*F688,2)</f>
        <v>5462.27</v>
      </c>
      <c r="I688" s="33">
        <f t="shared" si="51"/>
        <v>0</v>
      </c>
      <c r="J688" s="34"/>
    </row>
    <row r="689" spans="1:10" x14ac:dyDescent="0.25">
      <c r="A689" s="51" t="s">
        <v>1345</v>
      </c>
      <c r="B689" s="28">
        <v>5000011330</v>
      </c>
      <c r="C689" s="42" t="s">
        <v>1346</v>
      </c>
      <c r="D689" s="30" t="s">
        <v>29</v>
      </c>
      <c r="E689" s="31"/>
      <c r="F689" s="32">
        <v>762.1</v>
      </c>
      <c r="G689" s="33">
        <f t="shared" si="50"/>
        <v>0</v>
      </c>
      <c r="H689" s="33">
        <f>ROUND('[1]RESUMO DA PROPOSTA'!$C$20*F689,2)</f>
        <v>1341.3</v>
      </c>
      <c r="I689" s="33">
        <f t="shared" si="51"/>
        <v>0</v>
      </c>
      <c r="J689" s="34"/>
    </row>
    <row r="690" spans="1:10" x14ac:dyDescent="0.25">
      <c r="A690" s="51" t="s">
        <v>1347</v>
      </c>
      <c r="B690" s="28">
        <v>5000011331</v>
      </c>
      <c r="C690" s="42" t="s">
        <v>1348</v>
      </c>
      <c r="D690" s="30" t="s">
        <v>29</v>
      </c>
      <c r="E690" s="31"/>
      <c r="F690" s="32">
        <v>512.29</v>
      </c>
      <c r="G690" s="33">
        <f t="shared" si="50"/>
        <v>0</v>
      </c>
      <c r="H690" s="33">
        <f>ROUND('[1]RESUMO DA PROPOSTA'!$C$20*F690,2)</f>
        <v>901.63</v>
      </c>
      <c r="I690" s="33">
        <f t="shared" si="51"/>
        <v>0</v>
      </c>
      <c r="J690" s="34"/>
    </row>
    <row r="691" spans="1:10" x14ac:dyDescent="0.25">
      <c r="A691" s="51" t="s">
        <v>1349</v>
      </c>
      <c r="B691" s="28">
        <v>5000011332</v>
      </c>
      <c r="C691" s="42" t="s">
        <v>1350</v>
      </c>
      <c r="D691" s="30" t="s">
        <v>29</v>
      </c>
      <c r="E691" s="31"/>
      <c r="F691" s="32">
        <v>849.59</v>
      </c>
      <c r="G691" s="33">
        <f t="shared" si="50"/>
        <v>0</v>
      </c>
      <c r="H691" s="33">
        <f>ROUND('[1]RESUMO DA PROPOSTA'!$C$20*F691,2)</f>
        <v>1495.28</v>
      </c>
      <c r="I691" s="33">
        <f t="shared" si="51"/>
        <v>0</v>
      </c>
      <c r="J691" s="34"/>
    </row>
    <row r="692" spans="1:10" x14ac:dyDescent="0.25">
      <c r="A692" s="51" t="s">
        <v>1351</v>
      </c>
      <c r="B692" s="28">
        <v>5000011333</v>
      </c>
      <c r="C692" s="42" t="s">
        <v>1352</v>
      </c>
      <c r="D692" s="30" t="s">
        <v>29</v>
      </c>
      <c r="E692" s="31"/>
      <c r="F692" s="32">
        <v>441.2</v>
      </c>
      <c r="G692" s="33">
        <f t="shared" si="50"/>
        <v>0</v>
      </c>
      <c r="H692" s="33">
        <f>ROUND('[1]RESUMO DA PROPOSTA'!$C$20*F692,2)</f>
        <v>776.51</v>
      </c>
      <c r="I692" s="33">
        <f t="shared" si="51"/>
        <v>0</v>
      </c>
      <c r="J692" s="34"/>
    </row>
    <row r="693" spans="1:10" x14ac:dyDescent="0.25">
      <c r="A693" s="51" t="s">
        <v>1353</v>
      </c>
      <c r="B693" s="28">
        <v>5000011334</v>
      </c>
      <c r="C693" s="42" t="s">
        <v>1354</v>
      </c>
      <c r="D693" s="30" t="s">
        <v>29</v>
      </c>
      <c r="E693" s="31"/>
      <c r="F693" s="32">
        <v>2508.7199999999998</v>
      </c>
      <c r="G693" s="33">
        <f t="shared" si="50"/>
        <v>0</v>
      </c>
      <c r="H693" s="33">
        <f>ROUND('[1]RESUMO DA PROPOSTA'!$C$20*F693,2)</f>
        <v>4415.3500000000004</v>
      </c>
      <c r="I693" s="33">
        <f t="shared" si="51"/>
        <v>0</v>
      </c>
      <c r="J693" s="34"/>
    </row>
    <row r="694" spans="1:10" x14ac:dyDescent="0.25">
      <c r="A694" s="51" t="s">
        <v>1355</v>
      </c>
      <c r="B694" s="28">
        <v>5000011335</v>
      </c>
      <c r="C694" s="42" t="s">
        <v>1356</v>
      </c>
      <c r="D694" s="30" t="s">
        <v>29</v>
      </c>
      <c r="E694" s="31"/>
      <c r="F694" s="32">
        <v>1784.55</v>
      </c>
      <c r="G694" s="33">
        <f t="shared" si="50"/>
        <v>0</v>
      </c>
      <c r="H694" s="33">
        <f>ROUND('[1]RESUMO DA PROPOSTA'!$C$20*F694,2)</f>
        <v>3140.81</v>
      </c>
      <c r="I694" s="33">
        <f t="shared" si="51"/>
        <v>0</v>
      </c>
      <c r="J694" s="34"/>
    </row>
    <row r="695" spans="1:10" x14ac:dyDescent="0.25">
      <c r="A695" s="51" t="s">
        <v>1357</v>
      </c>
      <c r="B695" s="28">
        <v>5000011336</v>
      </c>
      <c r="C695" s="42" t="s">
        <v>1358</v>
      </c>
      <c r="D695" s="30" t="s">
        <v>29</v>
      </c>
      <c r="E695" s="31"/>
      <c r="F695" s="32">
        <v>724</v>
      </c>
      <c r="G695" s="33">
        <f t="shared" si="50"/>
        <v>0</v>
      </c>
      <c r="H695" s="33">
        <f>ROUND('[1]RESUMO DA PROPOSTA'!$C$20*F695,2)</f>
        <v>1274.24</v>
      </c>
      <c r="I695" s="33">
        <f t="shared" si="51"/>
        <v>0</v>
      </c>
      <c r="J695" s="34"/>
    </row>
    <row r="696" spans="1:10" x14ac:dyDescent="0.25">
      <c r="A696" s="51" t="s">
        <v>1359</v>
      </c>
      <c r="B696" s="28">
        <v>5000011337</v>
      </c>
      <c r="C696" s="42" t="s">
        <v>1360</v>
      </c>
      <c r="D696" s="30" t="s">
        <v>29</v>
      </c>
      <c r="E696" s="31"/>
      <c r="F696" s="32">
        <v>3465.64</v>
      </c>
      <c r="G696" s="33">
        <f t="shared" si="50"/>
        <v>0</v>
      </c>
      <c r="H696" s="33">
        <f>ROUND('[1]RESUMO DA PROPOSTA'!$C$20*F696,2)</f>
        <v>6099.53</v>
      </c>
      <c r="I696" s="33">
        <f t="shared" si="51"/>
        <v>0</v>
      </c>
      <c r="J696" s="34"/>
    </row>
    <row r="697" spans="1:10" x14ac:dyDescent="0.25">
      <c r="A697" s="51" t="s">
        <v>1361</v>
      </c>
      <c r="B697" s="28">
        <v>5000011338</v>
      </c>
      <c r="C697" s="42" t="s">
        <v>1362</v>
      </c>
      <c r="D697" s="30" t="s">
        <v>29</v>
      </c>
      <c r="E697" s="31"/>
      <c r="F697" s="32">
        <v>4778.9399999999996</v>
      </c>
      <c r="G697" s="33">
        <f t="shared" si="50"/>
        <v>0</v>
      </c>
      <c r="H697" s="33">
        <f>ROUND('[1]RESUMO DA PROPOSTA'!$C$20*F697,2)</f>
        <v>8410.93</v>
      </c>
      <c r="I697" s="33">
        <f t="shared" si="51"/>
        <v>0</v>
      </c>
      <c r="J697" s="34"/>
    </row>
    <row r="698" spans="1:10" x14ac:dyDescent="0.25">
      <c r="A698" s="51" t="s">
        <v>1363</v>
      </c>
      <c r="B698" s="28">
        <v>5000011339</v>
      </c>
      <c r="C698" s="42" t="s">
        <v>1364</v>
      </c>
      <c r="D698" s="30" t="s">
        <v>29</v>
      </c>
      <c r="E698" s="31"/>
      <c r="F698" s="32">
        <v>2172.4899999999998</v>
      </c>
      <c r="G698" s="33">
        <f t="shared" si="50"/>
        <v>0</v>
      </c>
      <c r="H698" s="33">
        <f>ROUND('[1]RESUMO DA PROPOSTA'!$C$20*F698,2)</f>
        <v>3823.58</v>
      </c>
      <c r="I698" s="33">
        <f t="shared" si="51"/>
        <v>0</v>
      </c>
      <c r="J698" s="34"/>
    </row>
    <row r="699" spans="1:10" ht="15.75" x14ac:dyDescent="0.25">
      <c r="A699" s="43" t="s">
        <v>1365</v>
      </c>
      <c r="B699" s="44"/>
      <c r="C699" s="45" t="s">
        <v>1366</v>
      </c>
      <c r="D699" s="46"/>
      <c r="E699" s="47"/>
      <c r="F699" s="48" t="s">
        <v>17</v>
      </c>
      <c r="G699" s="49">
        <f>SUBTOTAL(9,G700:G720)</f>
        <v>0</v>
      </c>
      <c r="H699" s="48" t="s">
        <v>17</v>
      </c>
      <c r="I699" s="49">
        <f>SUBTOTAL(9,I700:I720)</f>
        <v>0</v>
      </c>
      <c r="J699" s="50"/>
    </row>
    <row r="700" spans="1:10" x14ac:dyDescent="0.25">
      <c r="A700" s="51" t="s">
        <v>1367</v>
      </c>
      <c r="B700" s="28">
        <v>5000011340</v>
      </c>
      <c r="C700" s="42" t="s">
        <v>1368</v>
      </c>
      <c r="D700" s="30" t="s">
        <v>29</v>
      </c>
      <c r="E700" s="31"/>
      <c r="F700" s="32">
        <v>1203.3</v>
      </c>
      <c r="G700" s="33">
        <f t="shared" ref="G700:G720" si="52">ROUND(E700*F700,2)</f>
        <v>0</v>
      </c>
      <c r="H700" s="33">
        <f>ROUND('[1]RESUMO DA PROPOSTA'!$C$20*F700,2)</f>
        <v>2117.81</v>
      </c>
      <c r="I700" s="33">
        <f t="shared" ref="I700:I720" si="53">ROUND(E700*H700,2)</f>
        <v>0</v>
      </c>
      <c r="J700" s="34"/>
    </row>
    <row r="701" spans="1:10" x14ac:dyDescent="0.25">
      <c r="A701" s="51" t="s">
        <v>1369</v>
      </c>
      <c r="B701" s="28">
        <v>5000011341</v>
      </c>
      <c r="C701" s="42" t="s">
        <v>1370</v>
      </c>
      <c r="D701" s="30" t="s">
        <v>29</v>
      </c>
      <c r="E701" s="31"/>
      <c r="F701" s="32">
        <v>2874.11</v>
      </c>
      <c r="G701" s="33">
        <f t="shared" si="52"/>
        <v>0</v>
      </c>
      <c r="H701" s="33">
        <f>ROUND('[1]RESUMO DA PROPOSTA'!$C$20*F701,2)</f>
        <v>5058.43</v>
      </c>
      <c r="I701" s="33">
        <f t="shared" si="53"/>
        <v>0</v>
      </c>
      <c r="J701" s="34"/>
    </row>
    <row r="702" spans="1:10" x14ac:dyDescent="0.25">
      <c r="A702" s="51" t="s">
        <v>1371</v>
      </c>
      <c r="B702" s="28">
        <v>5000011342</v>
      </c>
      <c r="C702" s="42" t="s">
        <v>1372</v>
      </c>
      <c r="D702" s="30" t="s">
        <v>29</v>
      </c>
      <c r="E702" s="31"/>
      <c r="F702" s="32">
        <v>3708.07</v>
      </c>
      <c r="G702" s="33">
        <f t="shared" si="52"/>
        <v>0</v>
      </c>
      <c r="H702" s="33">
        <f>ROUND('[1]RESUMO DA PROPOSTA'!$C$20*F702,2)</f>
        <v>6526.2</v>
      </c>
      <c r="I702" s="33">
        <f t="shared" si="53"/>
        <v>0</v>
      </c>
      <c r="J702" s="34"/>
    </row>
    <row r="703" spans="1:10" x14ac:dyDescent="0.25">
      <c r="A703" s="51" t="s">
        <v>1373</v>
      </c>
      <c r="B703" s="28">
        <v>5000011343</v>
      </c>
      <c r="C703" s="42" t="s">
        <v>1374</v>
      </c>
      <c r="D703" s="30" t="s">
        <v>29</v>
      </c>
      <c r="E703" s="31"/>
      <c r="F703" s="32">
        <v>959.5</v>
      </c>
      <c r="G703" s="33">
        <f t="shared" si="52"/>
        <v>0</v>
      </c>
      <c r="H703" s="33">
        <f>ROUND('[1]RESUMO DA PROPOSTA'!$C$20*F703,2)</f>
        <v>1688.72</v>
      </c>
      <c r="I703" s="33">
        <f t="shared" si="53"/>
        <v>0</v>
      </c>
      <c r="J703" s="34"/>
    </row>
    <row r="704" spans="1:10" x14ac:dyDescent="0.25">
      <c r="A704" s="51" t="s">
        <v>1375</v>
      </c>
      <c r="B704" s="28">
        <v>5000011344</v>
      </c>
      <c r="C704" s="42" t="s">
        <v>1376</v>
      </c>
      <c r="D704" s="30" t="s">
        <v>29</v>
      </c>
      <c r="E704" s="31"/>
      <c r="F704" s="32">
        <v>810.97</v>
      </c>
      <c r="G704" s="33">
        <f t="shared" si="52"/>
        <v>0</v>
      </c>
      <c r="H704" s="33">
        <f>ROUND('[1]RESUMO DA PROPOSTA'!$C$20*F704,2)</f>
        <v>1427.31</v>
      </c>
      <c r="I704" s="33">
        <f t="shared" si="53"/>
        <v>0</v>
      </c>
      <c r="J704" s="34"/>
    </row>
    <row r="705" spans="1:10" x14ac:dyDescent="0.25">
      <c r="A705" s="51" t="s">
        <v>1377</v>
      </c>
      <c r="B705" s="28">
        <v>5000011345</v>
      </c>
      <c r="C705" s="42" t="s">
        <v>1378</v>
      </c>
      <c r="D705" s="30" t="s">
        <v>29</v>
      </c>
      <c r="E705" s="31"/>
      <c r="F705" s="32">
        <v>842.48</v>
      </c>
      <c r="G705" s="33">
        <f t="shared" si="52"/>
        <v>0</v>
      </c>
      <c r="H705" s="33">
        <f>ROUND('[1]RESUMO DA PROPOSTA'!$C$20*F705,2)</f>
        <v>1482.76</v>
      </c>
      <c r="I705" s="33">
        <f t="shared" si="53"/>
        <v>0</v>
      </c>
      <c r="J705" s="34"/>
    </row>
    <row r="706" spans="1:10" x14ac:dyDescent="0.25">
      <c r="A706" s="51" t="s">
        <v>1379</v>
      </c>
      <c r="B706" s="28">
        <v>5000011346</v>
      </c>
      <c r="C706" s="42" t="s">
        <v>1380</v>
      </c>
      <c r="D706" s="30" t="s">
        <v>29</v>
      </c>
      <c r="E706" s="31"/>
      <c r="F706" s="32">
        <v>2612.1999999999998</v>
      </c>
      <c r="G706" s="33">
        <f t="shared" si="52"/>
        <v>0</v>
      </c>
      <c r="H706" s="33">
        <f>ROUND('[1]RESUMO DA PROPOSTA'!$C$20*F706,2)</f>
        <v>4597.47</v>
      </c>
      <c r="I706" s="33">
        <f t="shared" si="53"/>
        <v>0</v>
      </c>
      <c r="J706" s="34"/>
    </row>
    <row r="707" spans="1:10" x14ac:dyDescent="0.25">
      <c r="A707" s="51" t="s">
        <v>1381</v>
      </c>
      <c r="B707" s="28">
        <v>5000011347</v>
      </c>
      <c r="C707" s="42" t="s">
        <v>1382</v>
      </c>
      <c r="D707" s="30" t="s">
        <v>29</v>
      </c>
      <c r="E707" s="31"/>
      <c r="F707" s="32">
        <v>1690.65</v>
      </c>
      <c r="G707" s="33">
        <f t="shared" si="52"/>
        <v>0</v>
      </c>
      <c r="H707" s="33">
        <f>ROUND('[1]RESUMO DA PROPOSTA'!$C$20*F707,2)</f>
        <v>2975.54</v>
      </c>
      <c r="I707" s="33">
        <f t="shared" si="53"/>
        <v>0</v>
      </c>
      <c r="J707" s="34"/>
    </row>
    <row r="708" spans="1:10" x14ac:dyDescent="0.25">
      <c r="A708" s="51" t="s">
        <v>1383</v>
      </c>
      <c r="B708" s="28">
        <v>5000011348</v>
      </c>
      <c r="C708" s="42" t="s">
        <v>1384</v>
      </c>
      <c r="D708" s="30" t="s">
        <v>29</v>
      </c>
      <c r="E708" s="31"/>
      <c r="F708" s="32">
        <v>4695.93</v>
      </c>
      <c r="G708" s="33">
        <f t="shared" si="52"/>
        <v>0</v>
      </c>
      <c r="H708" s="33">
        <f>ROUND('[1]RESUMO DA PROPOSTA'!$C$20*F708,2)</f>
        <v>8264.84</v>
      </c>
      <c r="I708" s="33">
        <f t="shared" si="53"/>
        <v>0</v>
      </c>
      <c r="J708" s="34"/>
    </row>
    <row r="709" spans="1:10" x14ac:dyDescent="0.25">
      <c r="A709" s="51" t="s">
        <v>1385</v>
      </c>
      <c r="B709" s="28">
        <v>5000011349</v>
      </c>
      <c r="C709" s="42" t="s">
        <v>1386</v>
      </c>
      <c r="D709" s="30" t="s">
        <v>29</v>
      </c>
      <c r="E709" s="31"/>
      <c r="F709" s="32">
        <v>1093.96</v>
      </c>
      <c r="G709" s="33">
        <f t="shared" si="52"/>
        <v>0</v>
      </c>
      <c r="H709" s="33">
        <f>ROUND('[1]RESUMO DA PROPOSTA'!$C$20*F709,2)</f>
        <v>1925.37</v>
      </c>
      <c r="I709" s="33">
        <f t="shared" si="53"/>
        <v>0</v>
      </c>
      <c r="J709" s="34"/>
    </row>
    <row r="710" spans="1:10" x14ac:dyDescent="0.25">
      <c r="A710" s="51" t="s">
        <v>1387</v>
      </c>
      <c r="B710" s="28">
        <v>5000011350</v>
      </c>
      <c r="C710" s="42" t="s">
        <v>1388</v>
      </c>
      <c r="D710" s="30" t="s">
        <v>29</v>
      </c>
      <c r="E710" s="31"/>
      <c r="F710" s="32">
        <v>386.2</v>
      </c>
      <c r="G710" s="33">
        <f t="shared" si="52"/>
        <v>0</v>
      </c>
      <c r="H710" s="33">
        <f>ROUND('[1]RESUMO DA PROPOSTA'!$C$20*F710,2)</f>
        <v>679.71</v>
      </c>
      <c r="I710" s="33">
        <f t="shared" si="53"/>
        <v>0</v>
      </c>
      <c r="J710" s="34"/>
    </row>
    <row r="711" spans="1:10" x14ac:dyDescent="0.25">
      <c r="A711" s="51" t="s">
        <v>1389</v>
      </c>
      <c r="B711" s="28">
        <v>5000011351</v>
      </c>
      <c r="C711" s="42" t="s">
        <v>1390</v>
      </c>
      <c r="D711" s="30" t="s">
        <v>29</v>
      </c>
      <c r="E711" s="31"/>
      <c r="F711" s="32">
        <v>325.44</v>
      </c>
      <c r="G711" s="33">
        <f t="shared" si="52"/>
        <v>0</v>
      </c>
      <c r="H711" s="33">
        <f>ROUND('[1]RESUMO DA PROPOSTA'!$C$20*F711,2)</f>
        <v>572.77</v>
      </c>
      <c r="I711" s="33">
        <f t="shared" si="53"/>
        <v>0</v>
      </c>
      <c r="J711" s="34"/>
    </row>
    <row r="712" spans="1:10" x14ac:dyDescent="0.25">
      <c r="A712" s="51" t="s">
        <v>1391</v>
      </c>
      <c r="B712" s="28">
        <v>5000011352</v>
      </c>
      <c r="C712" s="42" t="s">
        <v>1392</v>
      </c>
      <c r="D712" s="30" t="s">
        <v>29</v>
      </c>
      <c r="E712" s="31"/>
      <c r="F712" s="32">
        <v>578.09</v>
      </c>
      <c r="G712" s="33">
        <f t="shared" si="52"/>
        <v>0</v>
      </c>
      <c r="H712" s="33">
        <f>ROUND('[1]RESUMO DA PROPOSTA'!$C$20*F712,2)</f>
        <v>1017.44</v>
      </c>
      <c r="I712" s="33">
        <f t="shared" si="53"/>
        <v>0</v>
      </c>
      <c r="J712" s="34"/>
    </row>
    <row r="713" spans="1:10" x14ac:dyDescent="0.25">
      <c r="A713" s="51" t="s">
        <v>1393</v>
      </c>
      <c r="B713" s="28">
        <v>5000011353</v>
      </c>
      <c r="C713" s="42" t="s">
        <v>1394</v>
      </c>
      <c r="D713" s="30" t="s">
        <v>29</v>
      </c>
      <c r="E713" s="31"/>
      <c r="F713" s="32">
        <v>496.93</v>
      </c>
      <c r="G713" s="33">
        <f t="shared" si="52"/>
        <v>0</v>
      </c>
      <c r="H713" s="33">
        <f>ROUND('[1]RESUMO DA PROPOSTA'!$C$20*F713,2)</f>
        <v>874.6</v>
      </c>
      <c r="I713" s="33">
        <f t="shared" si="53"/>
        <v>0</v>
      </c>
      <c r="J713" s="34"/>
    </row>
    <row r="714" spans="1:10" x14ac:dyDescent="0.25">
      <c r="A714" s="51" t="s">
        <v>1395</v>
      </c>
      <c r="B714" s="28">
        <v>5000011354</v>
      </c>
      <c r="C714" s="42" t="s">
        <v>1396</v>
      </c>
      <c r="D714" s="30" t="s">
        <v>29</v>
      </c>
      <c r="E714" s="31"/>
      <c r="F714" s="32">
        <v>2024.85</v>
      </c>
      <c r="G714" s="33">
        <f t="shared" si="52"/>
        <v>0</v>
      </c>
      <c r="H714" s="33">
        <f>ROUND('[1]RESUMO DA PROPOSTA'!$C$20*F714,2)</f>
        <v>3563.74</v>
      </c>
      <c r="I714" s="33">
        <f t="shared" si="53"/>
        <v>0</v>
      </c>
      <c r="J714" s="34"/>
    </row>
    <row r="715" spans="1:10" x14ac:dyDescent="0.25">
      <c r="A715" s="51" t="s">
        <v>1397</v>
      </c>
      <c r="B715" s="28">
        <v>5000011355</v>
      </c>
      <c r="C715" s="42" t="s">
        <v>1398</v>
      </c>
      <c r="D715" s="30" t="s">
        <v>29</v>
      </c>
      <c r="E715" s="31"/>
      <c r="F715" s="32">
        <v>2187.92</v>
      </c>
      <c r="G715" s="33">
        <f t="shared" si="52"/>
        <v>0</v>
      </c>
      <c r="H715" s="33">
        <f>ROUND('[1]RESUMO DA PROPOSTA'!$C$20*F715,2)</f>
        <v>3850.74</v>
      </c>
      <c r="I715" s="33">
        <f t="shared" si="53"/>
        <v>0</v>
      </c>
      <c r="J715" s="34"/>
    </row>
    <row r="716" spans="1:10" x14ac:dyDescent="0.25">
      <c r="A716" s="51" t="s">
        <v>1399</v>
      </c>
      <c r="B716" s="28">
        <v>5000011356</v>
      </c>
      <c r="C716" s="42" t="s">
        <v>1400</v>
      </c>
      <c r="D716" s="30" t="s">
        <v>29</v>
      </c>
      <c r="E716" s="31"/>
      <c r="F716" s="32">
        <v>378.57</v>
      </c>
      <c r="G716" s="33">
        <f t="shared" si="52"/>
        <v>0</v>
      </c>
      <c r="H716" s="33">
        <f>ROUND('[1]RESUMO DA PROPOSTA'!$C$20*F716,2)</f>
        <v>666.28</v>
      </c>
      <c r="I716" s="33">
        <f t="shared" si="53"/>
        <v>0</v>
      </c>
      <c r="J716" s="34"/>
    </row>
    <row r="717" spans="1:10" x14ac:dyDescent="0.25">
      <c r="A717" s="51" t="s">
        <v>1401</v>
      </c>
      <c r="B717" s="28">
        <v>5000011357</v>
      </c>
      <c r="C717" s="42" t="s">
        <v>1402</v>
      </c>
      <c r="D717" s="30" t="s">
        <v>29</v>
      </c>
      <c r="E717" s="31"/>
      <c r="F717" s="32">
        <v>967.46</v>
      </c>
      <c r="G717" s="33">
        <f t="shared" si="52"/>
        <v>0</v>
      </c>
      <c r="H717" s="33">
        <f>ROUND('[1]RESUMO DA PROPOSTA'!$C$20*F717,2)</f>
        <v>1702.73</v>
      </c>
      <c r="I717" s="33">
        <f t="shared" si="53"/>
        <v>0</v>
      </c>
      <c r="J717" s="34"/>
    </row>
    <row r="718" spans="1:10" x14ac:dyDescent="0.25">
      <c r="A718" s="51" t="s">
        <v>1403</v>
      </c>
      <c r="B718" s="28">
        <v>5000011358</v>
      </c>
      <c r="C718" s="42" t="s">
        <v>1404</v>
      </c>
      <c r="D718" s="30" t="s">
        <v>29</v>
      </c>
      <c r="E718" s="31"/>
      <c r="F718" s="32">
        <v>3051.84</v>
      </c>
      <c r="G718" s="33">
        <f t="shared" si="52"/>
        <v>0</v>
      </c>
      <c r="H718" s="33">
        <f>ROUND('[1]RESUMO DA PROPOSTA'!$C$20*F718,2)</f>
        <v>5371.24</v>
      </c>
      <c r="I718" s="33">
        <f t="shared" si="53"/>
        <v>0</v>
      </c>
      <c r="J718" s="34"/>
    </row>
    <row r="719" spans="1:10" ht="25.5" x14ac:dyDescent="0.25">
      <c r="A719" s="51" t="s">
        <v>1405</v>
      </c>
      <c r="B719" s="28">
        <v>5000011359</v>
      </c>
      <c r="C719" s="42" t="s">
        <v>1406</v>
      </c>
      <c r="D719" s="30" t="s">
        <v>29</v>
      </c>
      <c r="E719" s="31"/>
      <c r="F719" s="32">
        <v>770.88</v>
      </c>
      <c r="G719" s="33">
        <f t="shared" si="52"/>
        <v>0</v>
      </c>
      <c r="H719" s="33">
        <f>ROUND('[1]RESUMO DA PROPOSTA'!$C$20*F719,2)</f>
        <v>1356.75</v>
      </c>
      <c r="I719" s="33">
        <f t="shared" si="53"/>
        <v>0</v>
      </c>
      <c r="J719" s="34"/>
    </row>
    <row r="720" spans="1:10" x14ac:dyDescent="0.25">
      <c r="A720" s="51" t="s">
        <v>1407</v>
      </c>
      <c r="B720" s="28">
        <v>5000011360</v>
      </c>
      <c r="C720" s="42" t="s">
        <v>1408</v>
      </c>
      <c r="D720" s="30" t="s">
        <v>29</v>
      </c>
      <c r="E720" s="31"/>
      <c r="F720" s="32">
        <v>567.86</v>
      </c>
      <c r="G720" s="33">
        <f t="shared" si="52"/>
        <v>0</v>
      </c>
      <c r="H720" s="33">
        <f>ROUND('[1]RESUMO DA PROPOSTA'!$C$20*F720,2)</f>
        <v>999.43</v>
      </c>
      <c r="I720" s="33">
        <f t="shared" si="53"/>
        <v>0</v>
      </c>
      <c r="J720" s="34"/>
    </row>
    <row r="721" spans="1:10" ht="15.75" x14ac:dyDescent="0.25">
      <c r="A721" s="43" t="s">
        <v>1409</v>
      </c>
      <c r="B721" s="44"/>
      <c r="C721" s="45" t="s">
        <v>1410</v>
      </c>
      <c r="D721" s="46"/>
      <c r="E721" s="47"/>
      <c r="F721" s="48" t="s">
        <v>17</v>
      </c>
      <c r="G721" s="49">
        <f>SUBTOTAL(9,G722:G724)</f>
        <v>0</v>
      </c>
      <c r="H721" s="48" t="s">
        <v>17</v>
      </c>
      <c r="I721" s="49">
        <f>SUBTOTAL(9,I722:I724)</f>
        <v>0</v>
      </c>
      <c r="J721" s="50"/>
    </row>
    <row r="722" spans="1:10" x14ac:dyDescent="0.25">
      <c r="A722" s="51" t="s">
        <v>1411</v>
      </c>
      <c r="B722" s="28">
        <v>5000011361</v>
      </c>
      <c r="C722" s="42" t="s">
        <v>1412</v>
      </c>
      <c r="D722" s="30" t="s">
        <v>120</v>
      </c>
      <c r="E722" s="31"/>
      <c r="F722" s="32">
        <v>8.1999999999999993</v>
      </c>
      <c r="G722" s="33">
        <f>ROUND(E722*F722,2)</f>
        <v>0</v>
      </c>
      <c r="H722" s="33">
        <f>ROUND('[1]RESUMO DA PROPOSTA'!$C$20*F722,2)</f>
        <v>14.43</v>
      </c>
      <c r="I722" s="33">
        <f>ROUND(E722*H722,2)</f>
        <v>0</v>
      </c>
      <c r="J722" s="34"/>
    </row>
    <row r="723" spans="1:10" x14ac:dyDescent="0.25">
      <c r="A723" s="51" t="s">
        <v>1413</v>
      </c>
      <c r="B723" s="28">
        <v>5000011362</v>
      </c>
      <c r="C723" s="42" t="s">
        <v>1414</v>
      </c>
      <c r="D723" s="30" t="s">
        <v>120</v>
      </c>
      <c r="E723" s="31"/>
      <c r="F723" s="32">
        <v>8.1999999999999993</v>
      </c>
      <c r="G723" s="33">
        <f>ROUND(E723*F723,2)</f>
        <v>0</v>
      </c>
      <c r="H723" s="33">
        <f>ROUND('[1]RESUMO DA PROPOSTA'!$C$20*F723,2)</f>
        <v>14.43</v>
      </c>
      <c r="I723" s="33">
        <f>ROUND(E723*H723,2)</f>
        <v>0</v>
      </c>
      <c r="J723" s="34"/>
    </row>
    <row r="724" spans="1:10" x14ac:dyDescent="0.25">
      <c r="A724" s="51" t="s">
        <v>1415</v>
      </c>
      <c r="B724" s="28">
        <v>5000011363</v>
      </c>
      <c r="C724" s="42" t="s">
        <v>1416</v>
      </c>
      <c r="D724" s="30" t="s">
        <v>29</v>
      </c>
      <c r="E724" s="31"/>
      <c r="F724" s="32">
        <v>88.6</v>
      </c>
      <c r="G724" s="33">
        <f>ROUND(E724*F724,2)</f>
        <v>0</v>
      </c>
      <c r="H724" s="33">
        <f>ROUND('[1]RESUMO DA PROPOSTA'!$C$20*F724,2)</f>
        <v>155.94</v>
      </c>
      <c r="I724" s="33">
        <f>ROUND(E724*H724,2)</f>
        <v>0</v>
      </c>
      <c r="J724" s="34"/>
    </row>
    <row r="725" spans="1:10" ht="15.75" x14ac:dyDescent="0.25">
      <c r="A725" s="43" t="s">
        <v>1417</v>
      </c>
      <c r="B725" s="44"/>
      <c r="C725" s="45" t="s">
        <v>1418</v>
      </c>
      <c r="D725" s="46"/>
      <c r="E725" s="47"/>
      <c r="F725" s="48" t="s">
        <v>17</v>
      </c>
      <c r="G725" s="49">
        <f>SUBTOTAL(9,G726:G727)</f>
        <v>0</v>
      </c>
      <c r="H725" s="48" t="s">
        <v>17</v>
      </c>
      <c r="I725" s="49">
        <f>SUBTOTAL(9,I726:I727)</f>
        <v>0</v>
      </c>
      <c r="J725" s="50"/>
    </row>
    <row r="726" spans="1:10" x14ac:dyDescent="0.25">
      <c r="A726" s="51" t="s">
        <v>1419</v>
      </c>
      <c r="B726" s="28">
        <v>5000011364</v>
      </c>
      <c r="C726" s="42" t="s">
        <v>1420</v>
      </c>
      <c r="D726" s="30" t="s">
        <v>29</v>
      </c>
      <c r="E726" s="31"/>
      <c r="F726" s="32">
        <v>1307.54</v>
      </c>
      <c r="G726" s="33">
        <f>ROUND(E726*F726,2)</f>
        <v>0</v>
      </c>
      <c r="H726" s="33">
        <f>ROUND('[1]RESUMO DA PROPOSTA'!$C$20*F726,2)</f>
        <v>2301.27</v>
      </c>
      <c r="I726" s="33">
        <f>ROUND(E726*H726,2)</f>
        <v>0</v>
      </c>
      <c r="J726" s="34"/>
    </row>
    <row r="727" spans="1:10" x14ac:dyDescent="0.25">
      <c r="A727" s="51" t="s">
        <v>1421</v>
      </c>
      <c r="B727" s="28">
        <v>5000011365</v>
      </c>
      <c r="C727" s="42" t="s">
        <v>1422</v>
      </c>
      <c r="D727" s="30" t="s">
        <v>29</v>
      </c>
      <c r="E727" s="31"/>
      <c r="F727" s="32">
        <v>102.06</v>
      </c>
      <c r="G727" s="33">
        <f>ROUND(E727*F727,2)</f>
        <v>0</v>
      </c>
      <c r="H727" s="33">
        <f>ROUND('[1]RESUMO DA PROPOSTA'!$C$20*F727,2)</f>
        <v>179.63</v>
      </c>
      <c r="I727" s="33">
        <f>ROUND(E727*H727,2)</f>
        <v>0</v>
      </c>
      <c r="J727" s="34"/>
    </row>
    <row r="728" spans="1:10" ht="15.75" x14ac:dyDescent="0.25">
      <c r="A728" s="43" t="s">
        <v>1423</v>
      </c>
      <c r="B728" s="44"/>
      <c r="C728" s="45" t="s">
        <v>1424</v>
      </c>
      <c r="D728" s="46"/>
      <c r="E728" s="47"/>
      <c r="F728" s="48" t="s">
        <v>17</v>
      </c>
      <c r="G728" s="49">
        <f>SUBTOTAL(9,G729:G741)</f>
        <v>0</v>
      </c>
      <c r="H728" s="48" t="s">
        <v>17</v>
      </c>
      <c r="I728" s="49">
        <f>SUBTOTAL(9,I729:I741)</f>
        <v>0</v>
      </c>
      <c r="J728" s="50"/>
    </row>
    <row r="729" spans="1:10" x14ac:dyDescent="0.25">
      <c r="A729" s="51" t="s">
        <v>1425</v>
      </c>
      <c r="B729" s="28">
        <v>5000011366</v>
      </c>
      <c r="C729" s="42" t="s">
        <v>1426</v>
      </c>
      <c r="D729" s="30" t="s">
        <v>29</v>
      </c>
      <c r="E729" s="31"/>
      <c r="F729" s="32">
        <v>598.9</v>
      </c>
      <c r="G729" s="33">
        <f t="shared" ref="G729:G741" si="54">ROUND(E729*F729,2)</f>
        <v>0</v>
      </c>
      <c r="H729" s="33">
        <f>ROUND('[1]RESUMO DA PROPOSTA'!$C$20*F729,2)</f>
        <v>1054.06</v>
      </c>
      <c r="I729" s="33">
        <f t="shared" ref="I729:I741" si="55">ROUND(E729*H729,2)</f>
        <v>0</v>
      </c>
      <c r="J729" s="34"/>
    </row>
    <row r="730" spans="1:10" x14ac:dyDescent="0.25">
      <c r="A730" s="51" t="s">
        <v>1427</v>
      </c>
      <c r="B730" s="28">
        <v>5000011367</v>
      </c>
      <c r="C730" s="42" t="s">
        <v>1428</v>
      </c>
      <c r="D730" s="30" t="s">
        <v>29</v>
      </c>
      <c r="E730" s="31"/>
      <c r="F730" s="32">
        <v>284.68</v>
      </c>
      <c r="G730" s="33">
        <f t="shared" si="54"/>
        <v>0</v>
      </c>
      <c r="H730" s="33">
        <f>ROUND('[1]RESUMO DA PROPOSTA'!$C$20*F730,2)</f>
        <v>501.04</v>
      </c>
      <c r="I730" s="33">
        <f t="shared" si="55"/>
        <v>0</v>
      </c>
      <c r="J730" s="34"/>
    </row>
    <row r="731" spans="1:10" x14ac:dyDescent="0.25">
      <c r="A731" s="51" t="s">
        <v>1429</v>
      </c>
      <c r="B731" s="28">
        <v>5000011368</v>
      </c>
      <c r="C731" s="42" t="s">
        <v>1430</v>
      </c>
      <c r="D731" s="30" t="s">
        <v>29</v>
      </c>
      <c r="E731" s="31"/>
      <c r="F731" s="32">
        <v>2694.48</v>
      </c>
      <c r="G731" s="33">
        <f t="shared" si="54"/>
        <v>0</v>
      </c>
      <c r="H731" s="33">
        <f>ROUND('[1]RESUMO DA PROPOSTA'!$C$20*F731,2)</f>
        <v>4742.28</v>
      </c>
      <c r="I731" s="33">
        <f t="shared" si="55"/>
        <v>0</v>
      </c>
      <c r="J731" s="34"/>
    </row>
    <row r="732" spans="1:10" x14ac:dyDescent="0.25">
      <c r="A732" s="51" t="s">
        <v>1431</v>
      </c>
      <c r="B732" s="28">
        <v>5000011369</v>
      </c>
      <c r="C732" s="42" t="s">
        <v>1432</v>
      </c>
      <c r="D732" s="30" t="s">
        <v>29</v>
      </c>
      <c r="E732" s="31"/>
      <c r="F732" s="32">
        <v>2458.7600000000002</v>
      </c>
      <c r="G732" s="33">
        <f t="shared" si="54"/>
        <v>0</v>
      </c>
      <c r="H732" s="33">
        <f>ROUND('[1]RESUMO DA PROPOSTA'!$C$20*F732,2)</f>
        <v>4327.42</v>
      </c>
      <c r="I732" s="33">
        <f t="shared" si="55"/>
        <v>0</v>
      </c>
      <c r="J732" s="34"/>
    </row>
    <row r="733" spans="1:10" x14ac:dyDescent="0.25">
      <c r="A733" s="51" t="s">
        <v>1433</v>
      </c>
      <c r="B733" s="28">
        <v>5000011370</v>
      </c>
      <c r="C733" s="42" t="s">
        <v>1434</v>
      </c>
      <c r="D733" s="30" t="s">
        <v>29</v>
      </c>
      <c r="E733" s="31"/>
      <c r="F733" s="32">
        <v>2974.91</v>
      </c>
      <c r="G733" s="33">
        <f t="shared" si="54"/>
        <v>0</v>
      </c>
      <c r="H733" s="33">
        <f>ROUND('[1]RESUMO DA PROPOSTA'!$C$20*F733,2)</f>
        <v>5235.84</v>
      </c>
      <c r="I733" s="33">
        <f t="shared" si="55"/>
        <v>0</v>
      </c>
      <c r="J733" s="34"/>
    </row>
    <row r="734" spans="1:10" x14ac:dyDescent="0.25">
      <c r="A734" s="51" t="s">
        <v>1435</v>
      </c>
      <c r="B734" s="28">
        <v>5000011371</v>
      </c>
      <c r="C734" s="42" t="s">
        <v>1436</v>
      </c>
      <c r="D734" s="30" t="s">
        <v>29</v>
      </c>
      <c r="E734" s="31"/>
      <c r="F734" s="32">
        <v>4048.5</v>
      </c>
      <c r="G734" s="33">
        <f t="shared" si="54"/>
        <v>0</v>
      </c>
      <c r="H734" s="33">
        <f>ROUND('[1]RESUMO DA PROPOSTA'!$C$20*F734,2)</f>
        <v>7125.36</v>
      </c>
      <c r="I734" s="33">
        <f t="shared" si="55"/>
        <v>0</v>
      </c>
      <c r="J734" s="34"/>
    </row>
    <row r="735" spans="1:10" x14ac:dyDescent="0.25">
      <c r="A735" s="51" t="s">
        <v>1437</v>
      </c>
      <c r="B735" s="28">
        <v>5000011372</v>
      </c>
      <c r="C735" s="42" t="s">
        <v>1438</v>
      </c>
      <c r="D735" s="30" t="s">
        <v>29</v>
      </c>
      <c r="E735" s="31"/>
      <c r="F735" s="32">
        <v>1053.95</v>
      </c>
      <c r="G735" s="33">
        <f t="shared" si="54"/>
        <v>0</v>
      </c>
      <c r="H735" s="33">
        <f>ROUND('[1]RESUMO DA PROPOSTA'!$C$20*F735,2)</f>
        <v>1854.95</v>
      </c>
      <c r="I735" s="33">
        <f t="shared" si="55"/>
        <v>0</v>
      </c>
      <c r="J735" s="34"/>
    </row>
    <row r="736" spans="1:10" x14ac:dyDescent="0.25">
      <c r="A736" s="51" t="s">
        <v>1439</v>
      </c>
      <c r="B736" s="28">
        <v>5000011373</v>
      </c>
      <c r="C736" s="42" t="s">
        <v>1440</v>
      </c>
      <c r="D736" s="30" t="s">
        <v>29</v>
      </c>
      <c r="E736" s="31"/>
      <c r="F736" s="32">
        <v>481.52</v>
      </c>
      <c r="G736" s="33">
        <f t="shared" si="54"/>
        <v>0</v>
      </c>
      <c r="H736" s="33">
        <f>ROUND('[1]RESUMO DA PROPOSTA'!$C$20*F736,2)</f>
        <v>847.48</v>
      </c>
      <c r="I736" s="33">
        <f t="shared" si="55"/>
        <v>0</v>
      </c>
      <c r="J736" s="34"/>
    </row>
    <row r="737" spans="1:10" x14ac:dyDescent="0.25">
      <c r="A737" s="51" t="s">
        <v>1441</v>
      </c>
      <c r="B737" s="28">
        <v>5000011374</v>
      </c>
      <c r="C737" s="42" t="s">
        <v>1442</v>
      </c>
      <c r="D737" s="30" t="s">
        <v>29</v>
      </c>
      <c r="E737" s="31"/>
      <c r="F737" s="32">
        <v>598.9</v>
      </c>
      <c r="G737" s="33">
        <f t="shared" si="54"/>
        <v>0</v>
      </c>
      <c r="H737" s="33">
        <f>ROUND('[1]RESUMO DA PROPOSTA'!$C$20*F737,2)</f>
        <v>1054.06</v>
      </c>
      <c r="I737" s="33">
        <f t="shared" si="55"/>
        <v>0</v>
      </c>
      <c r="J737" s="34"/>
    </row>
    <row r="738" spans="1:10" x14ac:dyDescent="0.25">
      <c r="A738" s="51" t="s">
        <v>1443</v>
      </c>
      <c r="B738" s="28">
        <v>5000011375</v>
      </c>
      <c r="C738" s="42" t="s">
        <v>1444</v>
      </c>
      <c r="D738" s="30" t="s">
        <v>120</v>
      </c>
      <c r="E738" s="31"/>
      <c r="F738" s="32">
        <v>4.82</v>
      </c>
      <c r="G738" s="33">
        <f t="shared" si="54"/>
        <v>0</v>
      </c>
      <c r="H738" s="33">
        <f>ROUND('[1]RESUMO DA PROPOSTA'!$C$20*F738,2)</f>
        <v>8.48</v>
      </c>
      <c r="I738" s="33">
        <f t="shared" si="55"/>
        <v>0</v>
      </c>
      <c r="J738" s="34"/>
    </row>
    <row r="739" spans="1:10" x14ac:dyDescent="0.25">
      <c r="A739" s="51" t="s">
        <v>1445</v>
      </c>
      <c r="B739" s="28">
        <v>5000011376</v>
      </c>
      <c r="C739" s="42" t="s">
        <v>1446</v>
      </c>
      <c r="D739" s="30" t="s">
        <v>120</v>
      </c>
      <c r="E739" s="31"/>
      <c r="F739" s="32">
        <v>4.07</v>
      </c>
      <c r="G739" s="33">
        <f t="shared" si="54"/>
        <v>0</v>
      </c>
      <c r="H739" s="33">
        <f>ROUND('[1]RESUMO DA PROPOSTA'!$C$20*F739,2)</f>
        <v>7.16</v>
      </c>
      <c r="I739" s="33">
        <f t="shared" si="55"/>
        <v>0</v>
      </c>
      <c r="J739" s="34"/>
    </row>
    <row r="740" spans="1:10" x14ac:dyDescent="0.25">
      <c r="A740" s="51" t="s">
        <v>1447</v>
      </c>
      <c r="B740" s="28">
        <v>5000011377</v>
      </c>
      <c r="C740" s="42" t="s">
        <v>1448</v>
      </c>
      <c r="D740" s="30" t="s">
        <v>96</v>
      </c>
      <c r="E740" s="31"/>
      <c r="F740" s="32">
        <v>3134.97</v>
      </c>
      <c r="G740" s="33">
        <f t="shared" si="54"/>
        <v>0</v>
      </c>
      <c r="H740" s="33">
        <f>ROUND('[1]RESUMO DA PROPOSTA'!$C$20*F740,2)</f>
        <v>5517.55</v>
      </c>
      <c r="I740" s="33">
        <f t="shared" si="55"/>
        <v>0</v>
      </c>
      <c r="J740" s="34"/>
    </row>
    <row r="741" spans="1:10" x14ac:dyDescent="0.25">
      <c r="A741" s="51" t="s">
        <v>1449</v>
      </c>
      <c r="B741" s="28">
        <v>3000000856</v>
      </c>
      <c r="C741" s="42" t="s">
        <v>1450</v>
      </c>
      <c r="D741" s="30" t="s">
        <v>29</v>
      </c>
      <c r="E741" s="31"/>
      <c r="F741" s="32">
        <v>213.75</v>
      </c>
      <c r="G741" s="33">
        <f t="shared" si="54"/>
        <v>0</v>
      </c>
      <c r="H741" s="33">
        <f>ROUND('[1]RESUMO DA PROPOSTA'!$C$20*F741,2)</f>
        <v>376.2</v>
      </c>
      <c r="I741" s="33">
        <f t="shared" si="55"/>
        <v>0</v>
      </c>
      <c r="J741" s="34"/>
    </row>
    <row r="742" spans="1:10" ht="15.75" x14ac:dyDescent="0.25">
      <c r="A742" s="18" t="s">
        <v>1451</v>
      </c>
      <c r="B742" s="19"/>
      <c r="C742" s="20" t="s">
        <v>1452</v>
      </c>
      <c r="D742" s="21"/>
      <c r="E742" s="40"/>
      <c r="F742" s="23" t="s">
        <v>17</v>
      </c>
      <c r="G742" s="24">
        <f>SUBTOTAL(9,G743:G819)</f>
        <v>0</v>
      </c>
      <c r="H742" s="25" t="s">
        <v>17</v>
      </c>
      <c r="I742" s="24">
        <f>SUBTOTAL(9,I743:I819)</f>
        <v>0</v>
      </c>
      <c r="J742" s="26"/>
    </row>
    <row r="743" spans="1:10" ht="15.75" x14ac:dyDescent="0.25">
      <c r="A743" s="43" t="s">
        <v>1453</v>
      </c>
      <c r="B743" s="44"/>
      <c r="C743" s="45" t="s">
        <v>1454</v>
      </c>
      <c r="D743" s="46"/>
      <c r="E743" s="47"/>
      <c r="F743" s="48" t="s">
        <v>17</v>
      </c>
      <c r="G743" s="49">
        <f>SUBTOTAL(9,G744:G753)</f>
        <v>0</v>
      </c>
      <c r="H743" s="48" t="s">
        <v>17</v>
      </c>
      <c r="I743" s="49">
        <f>SUBTOTAL(9,I744:I753)</f>
        <v>0</v>
      </c>
      <c r="J743" s="50"/>
    </row>
    <row r="744" spans="1:10" x14ac:dyDescent="0.25">
      <c r="A744" s="51" t="s">
        <v>1455</v>
      </c>
      <c r="B744" s="28">
        <v>5000006672</v>
      </c>
      <c r="C744" s="42" t="s">
        <v>1456</v>
      </c>
      <c r="D744" s="35" t="s">
        <v>178</v>
      </c>
      <c r="E744" s="31"/>
      <c r="F744" s="32">
        <v>997.03</v>
      </c>
      <c r="G744" s="33">
        <f t="shared" ref="G744:G753" si="56">ROUND(E744*F744,2)</f>
        <v>0</v>
      </c>
      <c r="H744" s="33">
        <f>ROUND('[1]RESUMO DA PROPOSTA'!$C$21*F744,2)</f>
        <v>1296.1400000000001</v>
      </c>
      <c r="I744" s="33">
        <f t="shared" ref="I744:I753" si="57">ROUND(E744*H744,2)</f>
        <v>0</v>
      </c>
      <c r="J744" s="34"/>
    </row>
    <row r="745" spans="1:10" x14ac:dyDescent="0.25">
      <c r="A745" s="51" t="s">
        <v>1457</v>
      </c>
      <c r="B745" s="28">
        <v>5000006673</v>
      </c>
      <c r="C745" s="42" t="s">
        <v>1458</v>
      </c>
      <c r="D745" s="35" t="s">
        <v>178</v>
      </c>
      <c r="E745" s="31"/>
      <c r="F745" s="32">
        <v>1212.67</v>
      </c>
      <c r="G745" s="33">
        <f t="shared" si="56"/>
        <v>0</v>
      </c>
      <c r="H745" s="33">
        <f>ROUND('[1]RESUMO DA PROPOSTA'!$C$21*F745,2)</f>
        <v>1576.47</v>
      </c>
      <c r="I745" s="33">
        <f t="shared" si="57"/>
        <v>0</v>
      </c>
      <c r="J745" s="34"/>
    </row>
    <row r="746" spans="1:10" x14ac:dyDescent="0.25">
      <c r="A746" s="51" t="s">
        <v>1459</v>
      </c>
      <c r="B746" s="28">
        <v>5000006674</v>
      </c>
      <c r="C746" s="42" t="s">
        <v>1460</v>
      </c>
      <c r="D746" s="35" t="s">
        <v>178</v>
      </c>
      <c r="E746" s="31"/>
      <c r="F746" s="32">
        <v>702.67</v>
      </c>
      <c r="G746" s="33">
        <f t="shared" si="56"/>
        <v>0</v>
      </c>
      <c r="H746" s="33">
        <f>ROUND('[1]RESUMO DA PROPOSTA'!$C$21*F746,2)</f>
        <v>913.47</v>
      </c>
      <c r="I746" s="33">
        <f t="shared" si="57"/>
        <v>0</v>
      </c>
      <c r="J746" s="34"/>
    </row>
    <row r="747" spans="1:10" x14ac:dyDescent="0.25">
      <c r="A747" s="51" t="s">
        <v>1461</v>
      </c>
      <c r="B747" s="28">
        <v>5000006675</v>
      </c>
      <c r="C747" s="42" t="s">
        <v>1462</v>
      </c>
      <c r="D747" s="35" t="s">
        <v>129</v>
      </c>
      <c r="E747" s="31"/>
      <c r="F747" s="32">
        <v>98.2</v>
      </c>
      <c r="G747" s="33">
        <f t="shared" si="56"/>
        <v>0</v>
      </c>
      <c r="H747" s="33">
        <f>ROUND('[1]RESUMO DA PROPOSTA'!$C$21*F747,2)</f>
        <v>127.66</v>
      </c>
      <c r="I747" s="33">
        <f t="shared" si="57"/>
        <v>0</v>
      </c>
      <c r="J747" s="34"/>
    </row>
    <row r="748" spans="1:10" x14ac:dyDescent="0.25">
      <c r="A748" s="51" t="s">
        <v>1463</v>
      </c>
      <c r="B748" s="28">
        <v>5000011071</v>
      </c>
      <c r="C748" s="42" t="s">
        <v>1464</v>
      </c>
      <c r="D748" s="35" t="s">
        <v>178</v>
      </c>
      <c r="E748" s="31"/>
      <c r="F748" s="32">
        <v>107.7</v>
      </c>
      <c r="G748" s="33">
        <f t="shared" si="56"/>
        <v>0</v>
      </c>
      <c r="H748" s="33">
        <f>ROUND('[1]RESUMO DA PROPOSTA'!$C$21*F748,2)</f>
        <v>140.01</v>
      </c>
      <c r="I748" s="33">
        <f t="shared" si="57"/>
        <v>0</v>
      </c>
      <c r="J748" s="34"/>
    </row>
    <row r="749" spans="1:10" x14ac:dyDescent="0.25">
      <c r="A749" s="51" t="s">
        <v>1465</v>
      </c>
      <c r="B749" s="28">
        <v>5000007425</v>
      </c>
      <c r="C749" s="42" t="s">
        <v>1466</v>
      </c>
      <c r="D749" s="35" t="s">
        <v>178</v>
      </c>
      <c r="E749" s="31"/>
      <c r="F749" s="32">
        <v>527.62</v>
      </c>
      <c r="G749" s="33">
        <f t="shared" si="56"/>
        <v>0</v>
      </c>
      <c r="H749" s="33">
        <f>ROUND('[1]RESUMO DA PROPOSTA'!$C$21*F749,2)</f>
        <v>685.91</v>
      </c>
      <c r="I749" s="33">
        <f t="shared" si="57"/>
        <v>0</v>
      </c>
      <c r="J749" s="34"/>
    </row>
    <row r="750" spans="1:10" x14ac:dyDescent="0.25">
      <c r="A750" s="51" t="s">
        <v>1467</v>
      </c>
      <c r="B750" s="28">
        <v>5000007427</v>
      </c>
      <c r="C750" s="42" t="s">
        <v>1468</v>
      </c>
      <c r="D750" s="35" t="s">
        <v>178</v>
      </c>
      <c r="E750" s="31"/>
      <c r="F750" s="32">
        <v>471.36</v>
      </c>
      <c r="G750" s="33">
        <f t="shared" si="56"/>
        <v>0</v>
      </c>
      <c r="H750" s="33">
        <f>ROUND('[1]RESUMO DA PROPOSTA'!$C$21*F750,2)</f>
        <v>612.77</v>
      </c>
      <c r="I750" s="33">
        <f t="shared" si="57"/>
        <v>0</v>
      </c>
      <c r="J750" s="34"/>
    </row>
    <row r="751" spans="1:10" x14ac:dyDescent="0.25">
      <c r="A751" s="51" t="s">
        <v>1469</v>
      </c>
      <c r="B751" s="28">
        <v>5000011461</v>
      </c>
      <c r="C751" s="42" t="s">
        <v>1470</v>
      </c>
      <c r="D751" s="35" t="s">
        <v>178</v>
      </c>
      <c r="E751" s="31"/>
      <c r="F751" s="32">
        <v>143.59</v>
      </c>
      <c r="G751" s="33">
        <f t="shared" si="56"/>
        <v>0</v>
      </c>
      <c r="H751" s="33">
        <f>ROUND('[1]RESUMO DA PROPOSTA'!$C$21*F751,2)</f>
        <v>186.67</v>
      </c>
      <c r="I751" s="33">
        <f t="shared" si="57"/>
        <v>0</v>
      </c>
      <c r="J751" s="34"/>
    </row>
    <row r="752" spans="1:10" x14ac:dyDescent="0.25">
      <c r="A752" s="51" t="s">
        <v>1471</v>
      </c>
      <c r="B752" s="28">
        <v>5000011072</v>
      </c>
      <c r="C752" s="42" t="s">
        <v>1472</v>
      </c>
      <c r="D752" s="35" t="s">
        <v>178</v>
      </c>
      <c r="E752" s="31"/>
      <c r="F752" s="32">
        <v>150.94999999999999</v>
      </c>
      <c r="G752" s="33">
        <f t="shared" si="56"/>
        <v>0</v>
      </c>
      <c r="H752" s="33">
        <f>ROUND('[1]RESUMO DA PROPOSTA'!$C$21*F752,2)</f>
        <v>196.24</v>
      </c>
      <c r="I752" s="33">
        <f t="shared" si="57"/>
        <v>0</v>
      </c>
      <c r="J752" s="34"/>
    </row>
    <row r="753" spans="1:10" x14ac:dyDescent="0.25">
      <c r="A753" s="51" t="s">
        <v>1473</v>
      </c>
      <c r="B753" s="28">
        <v>5000007637</v>
      </c>
      <c r="C753" s="42" t="s">
        <v>1474</v>
      </c>
      <c r="D753" s="35" t="s">
        <v>178</v>
      </c>
      <c r="E753" s="31"/>
      <c r="F753" s="32">
        <v>527.62</v>
      </c>
      <c r="G753" s="33">
        <f t="shared" si="56"/>
        <v>0</v>
      </c>
      <c r="H753" s="33">
        <f>ROUND('[1]RESUMO DA PROPOSTA'!$C$21*F753,2)</f>
        <v>685.91</v>
      </c>
      <c r="I753" s="33">
        <f t="shared" si="57"/>
        <v>0</v>
      </c>
      <c r="J753" s="34"/>
    </row>
    <row r="754" spans="1:10" ht="15.75" x14ac:dyDescent="0.25">
      <c r="A754" s="43" t="s">
        <v>1475</v>
      </c>
      <c r="B754" s="44"/>
      <c r="C754" s="45" t="s">
        <v>1476</v>
      </c>
      <c r="D754" s="46"/>
      <c r="E754" s="47"/>
      <c r="F754" s="48" t="s">
        <v>17</v>
      </c>
      <c r="G754" s="49">
        <f>SUBTOTAL(9,G755:G768)</f>
        <v>0</v>
      </c>
      <c r="H754" s="48" t="s">
        <v>17</v>
      </c>
      <c r="I754" s="49">
        <f>SUBTOTAL(9,I755:I768)</f>
        <v>0</v>
      </c>
      <c r="J754" s="50"/>
    </row>
    <row r="755" spans="1:10" x14ac:dyDescent="0.25">
      <c r="A755" s="51" t="s">
        <v>1477</v>
      </c>
      <c r="B755" s="28">
        <v>5000006676</v>
      </c>
      <c r="C755" s="42" t="s">
        <v>1478</v>
      </c>
      <c r="D755" s="35" t="s">
        <v>178</v>
      </c>
      <c r="E755" s="31"/>
      <c r="F755" s="32">
        <v>466.26</v>
      </c>
      <c r="G755" s="33">
        <f t="shared" ref="G755:G768" si="58">ROUND(E755*F755,2)</f>
        <v>0</v>
      </c>
      <c r="H755" s="33">
        <f>ROUND('[1]RESUMO DA PROPOSTA'!$C$21*F755,2)</f>
        <v>606.14</v>
      </c>
      <c r="I755" s="33">
        <f t="shared" ref="I755:I768" si="59">ROUND(E755*H755,2)</f>
        <v>0</v>
      </c>
      <c r="J755" s="34"/>
    </row>
    <row r="756" spans="1:10" x14ac:dyDescent="0.25">
      <c r="A756" s="51" t="s">
        <v>1479</v>
      </c>
      <c r="B756" s="28">
        <v>5000006677</v>
      </c>
      <c r="C756" s="42" t="s">
        <v>1480</v>
      </c>
      <c r="D756" s="35" t="s">
        <v>178</v>
      </c>
      <c r="E756" s="31"/>
      <c r="F756" s="32">
        <v>750.33</v>
      </c>
      <c r="G756" s="33">
        <f t="shared" si="58"/>
        <v>0</v>
      </c>
      <c r="H756" s="33">
        <f>ROUND('[1]RESUMO DA PROPOSTA'!$C$21*F756,2)</f>
        <v>975.43</v>
      </c>
      <c r="I756" s="33">
        <f t="shared" si="59"/>
        <v>0</v>
      </c>
      <c r="J756" s="34"/>
    </row>
    <row r="757" spans="1:10" x14ac:dyDescent="0.25">
      <c r="A757" s="51" t="s">
        <v>1481</v>
      </c>
      <c r="B757" s="28">
        <v>5000006678</v>
      </c>
      <c r="C757" s="42" t="s">
        <v>1482</v>
      </c>
      <c r="D757" s="35" t="s">
        <v>29</v>
      </c>
      <c r="E757" s="31"/>
      <c r="F757" s="32">
        <v>163.02000000000001</v>
      </c>
      <c r="G757" s="33">
        <f t="shared" si="58"/>
        <v>0</v>
      </c>
      <c r="H757" s="33">
        <f>ROUND('[1]RESUMO DA PROPOSTA'!$C$21*F757,2)</f>
        <v>211.93</v>
      </c>
      <c r="I757" s="33">
        <f t="shared" si="59"/>
        <v>0</v>
      </c>
      <c r="J757" s="34"/>
    </row>
    <row r="758" spans="1:10" x14ac:dyDescent="0.25">
      <c r="A758" s="51" t="s">
        <v>1483</v>
      </c>
      <c r="B758" s="28">
        <v>5000006679</v>
      </c>
      <c r="C758" s="42" t="s">
        <v>1484</v>
      </c>
      <c r="D758" s="35" t="s">
        <v>29</v>
      </c>
      <c r="E758" s="31"/>
      <c r="F758" s="32">
        <v>600</v>
      </c>
      <c r="G758" s="33">
        <f t="shared" si="58"/>
        <v>0</v>
      </c>
      <c r="H758" s="33">
        <f>ROUND('[1]RESUMO DA PROPOSTA'!$C$21*F758,2)</f>
        <v>780</v>
      </c>
      <c r="I758" s="33">
        <f t="shared" si="59"/>
        <v>0</v>
      </c>
      <c r="J758" s="34"/>
    </row>
    <row r="759" spans="1:10" x14ac:dyDescent="0.25">
      <c r="A759" s="51" t="s">
        <v>1485</v>
      </c>
      <c r="B759" s="28">
        <v>5000006680</v>
      </c>
      <c r="C759" s="42" t="s">
        <v>1486</v>
      </c>
      <c r="D759" s="35" t="s">
        <v>29</v>
      </c>
      <c r="E759" s="31"/>
      <c r="F759" s="32">
        <v>1180</v>
      </c>
      <c r="G759" s="33">
        <f t="shared" si="58"/>
        <v>0</v>
      </c>
      <c r="H759" s="33">
        <f>ROUND('[1]RESUMO DA PROPOSTA'!$C$21*F759,2)</f>
        <v>1534</v>
      </c>
      <c r="I759" s="33">
        <f t="shared" si="59"/>
        <v>0</v>
      </c>
      <c r="J759" s="34"/>
    </row>
    <row r="760" spans="1:10" x14ac:dyDescent="0.25">
      <c r="A760" s="51" t="s">
        <v>1487</v>
      </c>
      <c r="B760" s="28">
        <v>5000011073</v>
      </c>
      <c r="C760" s="42" t="s">
        <v>1488</v>
      </c>
      <c r="D760" s="35" t="s">
        <v>129</v>
      </c>
      <c r="E760" s="31"/>
      <c r="F760" s="32">
        <v>310.33</v>
      </c>
      <c r="G760" s="33">
        <f t="shared" si="58"/>
        <v>0</v>
      </c>
      <c r="H760" s="33">
        <f>ROUND('[1]RESUMO DA PROPOSTA'!$C$21*F760,2)</f>
        <v>403.43</v>
      </c>
      <c r="I760" s="33">
        <f t="shared" si="59"/>
        <v>0</v>
      </c>
      <c r="J760" s="34"/>
    </row>
    <row r="761" spans="1:10" x14ac:dyDescent="0.25">
      <c r="A761" s="51" t="s">
        <v>1489</v>
      </c>
      <c r="B761" s="28">
        <v>5000007429</v>
      </c>
      <c r="C761" s="42" t="s">
        <v>1490</v>
      </c>
      <c r="D761" s="35" t="s">
        <v>178</v>
      </c>
      <c r="E761" s="31"/>
      <c r="F761" s="32">
        <v>671.04</v>
      </c>
      <c r="G761" s="33">
        <f t="shared" si="58"/>
        <v>0</v>
      </c>
      <c r="H761" s="33">
        <f>ROUND('[1]RESUMO DA PROPOSTA'!$C$21*F761,2)</f>
        <v>872.35</v>
      </c>
      <c r="I761" s="33">
        <f t="shared" si="59"/>
        <v>0</v>
      </c>
      <c r="J761" s="34"/>
    </row>
    <row r="762" spans="1:10" x14ac:dyDescent="0.25">
      <c r="A762" s="51" t="s">
        <v>1491</v>
      </c>
      <c r="B762" s="28">
        <v>5000011074</v>
      </c>
      <c r="C762" s="42" t="s">
        <v>1492</v>
      </c>
      <c r="D762" s="35" t="s">
        <v>178</v>
      </c>
      <c r="E762" s="31"/>
      <c r="F762" s="32">
        <v>985.87</v>
      </c>
      <c r="G762" s="33">
        <f t="shared" si="58"/>
        <v>0</v>
      </c>
      <c r="H762" s="33">
        <f>ROUND('[1]RESUMO DA PROPOSTA'!$C$21*F762,2)</f>
        <v>1281.6300000000001</v>
      </c>
      <c r="I762" s="33">
        <f t="shared" si="59"/>
        <v>0</v>
      </c>
      <c r="J762" s="34"/>
    </row>
    <row r="763" spans="1:10" x14ac:dyDescent="0.25">
      <c r="A763" s="51" t="s">
        <v>1493</v>
      </c>
      <c r="B763" s="28">
        <v>5000011075</v>
      </c>
      <c r="C763" s="42" t="s">
        <v>1494</v>
      </c>
      <c r="D763" s="35" t="s">
        <v>463</v>
      </c>
      <c r="E763" s="31"/>
      <c r="F763" s="32">
        <v>11.91</v>
      </c>
      <c r="G763" s="33">
        <f t="shared" si="58"/>
        <v>0</v>
      </c>
      <c r="H763" s="33">
        <f>ROUND('[1]RESUMO DA PROPOSTA'!$C$21*F763,2)</f>
        <v>15.48</v>
      </c>
      <c r="I763" s="33">
        <f t="shared" si="59"/>
        <v>0</v>
      </c>
      <c r="J763" s="34"/>
    </row>
    <row r="764" spans="1:10" x14ac:dyDescent="0.25">
      <c r="A764" s="51" t="s">
        <v>1495</v>
      </c>
      <c r="B764" s="28">
        <v>5000011076</v>
      </c>
      <c r="C764" s="42" t="s">
        <v>1496</v>
      </c>
      <c r="D764" s="35" t="s">
        <v>463</v>
      </c>
      <c r="E764" s="31"/>
      <c r="F764" s="32">
        <v>7.61</v>
      </c>
      <c r="G764" s="33">
        <f t="shared" si="58"/>
        <v>0</v>
      </c>
      <c r="H764" s="33">
        <f>ROUND('[1]RESUMO DA PROPOSTA'!$C$21*F764,2)</f>
        <v>9.89</v>
      </c>
      <c r="I764" s="33">
        <f t="shared" si="59"/>
        <v>0</v>
      </c>
      <c r="J764" s="34"/>
    </row>
    <row r="765" spans="1:10" x14ac:dyDescent="0.25">
      <c r="A765" s="51" t="s">
        <v>1497</v>
      </c>
      <c r="B765" s="28">
        <v>5000007563</v>
      </c>
      <c r="C765" s="42" t="s">
        <v>1498</v>
      </c>
      <c r="D765" s="35" t="s">
        <v>129</v>
      </c>
      <c r="E765" s="31"/>
      <c r="F765" s="32">
        <v>11.84</v>
      </c>
      <c r="G765" s="33">
        <f t="shared" si="58"/>
        <v>0</v>
      </c>
      <c r="H765" s="33">
        <f>ROUND('[1]RESUMO DA PROPOSTA'!$C$21*F765,2)</f>
        <v>15.39</v>
      </c>
      <c r="I765" s="33">
        <f t="shared" si="59"/>
        <v>0</v>
      </c>
      <c r="J765" s="34"/>
    </row>
    <row r="766" spans="1:10" ht="25.5" x14ac:dyDescent="0.25">
      <c r="A766" s="51" t="s">
        <v>1499</v>
      </c>
      <c r="B766" s="28">
        <v>5000007565</v>
      </c>
      <c r="C766" s="42" t="s">
        <v>1500</v>
      </c>
      <c r="D766" s="35" t="s">
        <v>178</v>
      </c>
      <c r="E766" s="31"/>
      <c r="F766" s="32">
        <v>227.03</v>
      </c>
      <c r="G766" s="33">
        <f t="shared" si="58"/>
        <v>0</v>
      </c>
      <c r="H766" s="33">
        <f>ROUND('[1]RESUMO DA PROPOSTA'!$C$21*F766,2)</f>
        <v>295.14</v>
      </c>
      <c r="I766" s="33">
        <f t="shared" si="59"/>
        <v>0</v>
      </c>
      <c r="J766" s="34"/>
    </row>
    <row r="767" spans="1:10" x14ac:dyDescent="0.25">
      <c r="A767" s="51" t="s">
        <v>1501</v>
      </c>
      <c r="B767" s="28">
        <v>5000011077</v>
      </c>
      <c r="C767" s="42" t="s">
        <v>1502</v>
      </c>
      <c r="D767" s="35" t="s">
        <v>178</v>
      </c>
      <c r="E767" s="31"/>
      <c r="F767" s="32">
        <v>953.14</v>
      </c>
      <c r="G767" s="33">
        <f t="shared" si="58"/>
        <v>0</v>
      </c>
      <c r="H767" s="33">
        <f>ROUND('[1]RESUMO DA PROPOSTA'!$C$21*F767,2)</f>
        <v>1239.08</v>
      </c>
      <c r="I767" s="33">
        <f t="shared" si="59"/>
        <v>0</v>
      </c>
      <c r="J767" s="34"/>
    </row>
    <row r="768" spans="1:10" x14ac:dyDescent="0.25">
      <c r="A768" s="51" t="s">
        <v>1503</v>
      </c>
      <c r="B768" s="28">
        <v>5000011078</v>
      </c>
      <c r="C768" s="42" t="s">
        <v>1504</v>
      </c>
      <c r="D768" s="35" t="s">
        <v>178</v>
      </c>
      <c r="E768" s="31"/>
      <c r="F768" s="32">
        <v>555</v>
      </c>
      <c r="G768" s="33">
        <f t="shared" si="58"/>
        <v>0</v>
      </c>
      <c r="H768" s="33">
        <f>ROUND('[1]RESUMO DA PROPOSTA'!$C$21*F768,2)</f>
        <v>721.5</v>
      </c>
      <c r="I768" s="33">
        <f t="shared" si="59"/>
        <v>0</v>
      </c>
      <c r="J768" s="34"/>
    </row>
    <row r="769" spans="1:10" ht="15.75" x14ac:dyDescent="0.25">
      <c r="A769" s="43" t="s">
        <v>1505</v>
      </c>
      <c r="B769" s="44"/>
      <c r="C769" s="45" t="s">
        <v>1506</v>
      </c>
      <c r="D769" s="46"/>
      <c r="E769" s="47"/>
      <c r="F769" s="48" t="s">
        <v>17</v>
      </c>
      <c r="G769" s="49">
        <f>SUBTOTAL(9,G770:G785)</f>
        <v>0</v>
      </c>
      <c r="H769" s="48" t="s">
        <v>17</v>
      </c>
      <c r="I769" s="49">
        <f>SUBTOTAL(9,I770:I785)</f>
        <v>0</v>
      </c>
      <c r="J769" s="50"/>
    </row>
    <row r="770" spans="1:10" x14ac:dyDescent="0.25">
      <c r="A770" s="51" t="s">
        <v>1507</v>
      </c>
      <c r="B770" s="28">
        <v>3000016173</v>
      </c>
      <c r="C770" s="42" t="s">
        <v>1508</v>
      </c>
      <c r="D770" s="35" t="s">
        <v>178</v>
      </c>
      <c r="E770" s="31"/>
      <c r="F770" s="32">
        <v>310</v>
      </c>
      <c r="G770" s="33">
        <f t="shared" ref="G770:G785" si="60">ROUND(E770*F770,2)</f>
        <v>0</v>
      </c>
      <c r="H770" s="33">
        <f>ROUND('[1]RESUMO DA PROPOSTA'!$C$21*F770,2)</f>
        <v>403</v>
      </c>
      <c r="I770" s="33">
        <f t="shared" ref="I770:I785" si="61">ROUND(E770*H770,2)</f>
        <v>0</v>
      </c>
      <c r="J770" s="34"/>
    </row>
    <row r="771" spans="1:10" x14ac:dyDescent="0.25">
      <c r="A771" s="51" t="s">
        <v>1509</v>
      </c>
      <c r="B771" s="28">
        <v>5000011462</v>
      </c>
      <c r="C771" s="42" t="s">
        <v>1510</v>
      </c>
      <c r="D771" s="35" t="s">
        <v>178</v>
      </c>
      <c r="E771" s="31"/>
      <c r="F771" s="32">
        <v>1218.26</v>
      </c>
      <c r="G771" s="33">
        <f t="shared" si="60"/>
        <v>0</v>
      </c>
      <c r="H771" s="33">
        <f>ROUND('[1]RESUMO DA PROPOSTA'!$C$21*F771,2)</f>
        <v>1583.74</v>
      </c>
      <c r="I771" s="33">
        <f t="shared" si="61"/>
        <v>0</v>
      </c>
      <c r="J771" s="34"/>
    </row>
    <row r="772" spans="1:10" x14ac:dyDescent="0.25">
      <c r="A772" s="51" t="s">
        <v>1511</v>
      </c>
      <c r="B772" s="28">
        <v>5000011463</v>
      </c>
      <c r="C772" s="42" t="s">
        <v>1512</v>
      </c>
      <c r="D772" s="35" t="s">
        <v>178</v>
      </c>
      <c r="E772" s="31"/>
      <c r="F772" s="32">
        <v>3000</v>
      </c>
      <c r="G772" s="33">
        <f t="shared" si="60"/>
        <v>0</v>
      </c>
      <c r="H772" s="33">
        <f>ROUND('[1]RESUMO DA PROPOSTA'!$C$21*F772,2)</f>
        <v>3900</v>
      </c>
      <c r="I772" s="33">
        <f t="shared" si="61"/>
        <v>0</v>
      </c>
      <c r="J772" s="34"/>
    </row>
    <row r="773" spans="1:10" x14ac:dyDescent="0.25">
      <c r="A773" s="51" t="s">
        <v>1513</v>
      </c>
      <c r="B773" s="28">
        <v>5000011464</v>
      </c>
      <c r="C773" s="42" t="s">
        <v>1514</v>
      </c>
      <c r="D773" s="35" t="s">
        <v>129</v>
      </c>
      <c r="E773" s="31"/>
      <c r="F773" s="32">
        <v>173.89</v>
      </c>
      <c r="G773" s="33">
        <f t="shared" si="60"/>
        <v>0</v>
      </c>
      <c r="H773" s="33">
        <f>ROUND('[1]RESUMO DA PROPOSTA'!$C$21*F773,2)</f>
        <v>226.06</v>
      </c>
      <c r="I773" s="33">
        <f t="shared" si="61"/>
        <v>0</v>
      </c>
      <c r="J773" s="34"/>
    </row>
    <row r="774" spans="1:10" x14ac:dyDescent="0.25">
      <c r="A774" s="51" t="s">
        <v>1515</v>
      </c>
      <c r="B774" s="28">
        <v>5000011465</v>
      </c>
      <c r="C774" s="42" t="s">
        <v>1516</v>
      </c>
      <c r="D774" s="35" t="s">
        <v>129</v>
      </c>
      <c r="E774" s="31"/>
      <c r="F774" s="32">
        <v>148.88999999999999</v>
      </c>
      <c r="G774" s="33">
        <f t="shared" si="60"/>
        <v>0</v>
      </c>
      <c r="H774" s="33">
        <f>ROUND('[1]RESUMO DA PROPOSTA'!$C$21*F774,2)</f>
        <v>193.56</v>
      </c>
      <c r="I774" s="33">
        <f t="shared" si="61"/>
        <v>0</v>
      </c>
      <c r="J774" s="34"/>
    </row>
    <row r="775" spans="1:10" x14ac:dyDescent="0.25">
      <c r="A775" s="51" t="s">
        <v>1517</v>
      </c>
      <c r="B775" s="28">
        <v>5000011466</v>
      </c>
      <c r="C775" s="42" t="s">
        <v>1518</v>
      </c>
      <c r="D775" s="35" t="s">
        <v>129</v>
      </c>
      <c r="E775" s="31"/>
      <c r="F775" s="32">
        <v>34.229999999999997</v>
      </c>
      <c r="G775" s="33">
        <f t="shared" si="60"/>
        <v>0</v>
      </c>
      <c r="H775" s="33">
        <f>ROUND('[1]RESUMO DA PROPOSTA'!$C$21*F775,2)</f>
        <v>44.5</v>
      </c>
      <c r="I775" s="33">
        <f t="shared" si="61"/>
        <v>0</v>
      </c>
      <c r="J775" s="34"/>
    </row>
    <row r="776" spans="1:10" x14ac:dyDescent="0.25">
      <c r="A776" s="51" t="s">
        <v>1519</v>
      </c>
      <c r="B776" s="28">
        <v>5000011467</v>
      </c>
      <c r="C776" s="42" t="s">
        <v>1520</v>
      </c>
      <c r="D776" s="35" t="s">
        <v>29</v>
      </c>
      <c r="E776" s="31"/>
      <c r="F776" s="32">
        <v>126.79</v>
      </c>
      <c r="G776" s="33">
        <f t="shared" si="60"/>
        <v>0</v>
      </c>
      <c r="H776" s="33">
        <f>ROUND('[1]RESUMO DA PROPOSTA'!$C$21*F776,2)</f>
        <v>164.83</v>
      </c>
      <c r="I776" s="33">
        <f t="shared" si="61"/>
        <v>0</v>
      </c>
      <c r="J776" s="34"/>
    </row>
    <row r="777" spans="1:10" x14ac:dyDescent="0.25">
      <c r="A777" s="51" t="s">
        <v>1521</v>
      </c>
      <c r="B777" s="28">
        <v>5000011468</v>
      </c>
      <c r="C777" s="42" t="s">
        <v>1522</v>
      </c>
      <c r="D777" s="35" t="s">
        <v>129</v>
      </c>
      <c r="E777" s="31"/>
      <c r="F777" s="32">
        <v>108</v>
      </c>
      <c r="G777" s="33">
        <f t="shared" si="60"/>
        <v>0</v>
      </c>
      <c r="H777" s="33">
        <f>ROUND('[1]RESUMO DA PROPOSTA'!$C$21*F777,2)</f>
        <v>140.4</v>
      </c>
      <c r="I777" s="33">
        <f t="shared" si="61"/>
        <v>0</v>
      </c>
      <c r="J777" s="34"/>
    </row>
    <row r="778" spans="1:10" x14ac:dyDescent="0.25">
      <c r="A778" s="51" t="s">
        <v>1523</v>
      </c>
      <c r="B778" s="28">
        <v>5000011469</v>
      </c>
      <c r="C778" s="42" t="s">
        <v>1524</v>
      </c>
      <c r="D778" s="35" t="s">
        <v>29</v>
      </c>
      <c r="E778" s="31"/>
      <c r="F778" s="32">
        <v>1559.82</v>
      </c>
      <c r="G778" s="33">
        <f t="shared" si="60"/>
        <v>0</v>
      </c>
      <c r="H778" s="33">
        <f>ROUND('[1]RESUMO DA PROPOSTA'!$C$21*F778,2)</f>
        <v>2027.77</v>
      </c>
      <c r="I778" s="33">
        <f t="shared" si="61"/>
        <v>0</v>
      </c>
      <c r="J778" s="34"/>
    </row>
    <row r="779" spans="1:10" x14ac:dyDescent="0.25">
      <c r="A779" s="51" t="s">
        <v>1525</v>
      </c>
      <c r="B779" s="28">
        <v>5000011470</v>
      </c>
      <c r="C779" s="42" t="s">
        <v>1526</v>
      </c>
      <c r="D779" s="35" t="s">
        <v>29</v>
      </c>
      <c r="E779" s="31"/>
      <c r="F779" s="32">
        <v>432.25</v>
      </c>
      <c r="G779" s="33">
        <f t="shared" si="60"/>
        <v>0</v>
      </c>
      <c r="H779" s="33">
        <f>ROUND('[1]RESUMO DA PROPOSTA'!$C$21*F779,2)</f>
        <v>561.92999999999995</v>
      </c>
      <c r="I779" s="33">
        <f t="shared" si="61"/>
        <v>0</v>
      </c>
      <c r="J779" s="34"/>
    </row>
    <row r="780" spans="1:10" x14ac:dyDescent="0.25">
      <c r="A780" s="51" t="s">
        <v>1527</v>
      </c>
      <c r="B780" s="28">
        <v>5000011471</v>
      </c>
      <c r="C780" s="42" t="s">
        <v>1528</v>
      </c>
      <c r="D780" s="35" t="s">
        <v>254</v>
      </c>
      <c r="E780" s="31"/>
      <c r="F780" s="32">
        <v>801.86</v>
      </c>
      <c r="G780" s="33">
        <f t="shared" si="60"/>
        <v>0</v>
      </c>
      <c r="H780" s="33">
        <f>ROUND('[1]RESUMO DA PROPOSTA'!$C$21*F780,2)</f>
        <v>1042.42</v>
      </c>
      <c r="I780" s="33">
        <f t="shared" si="61"/>
        <v>0</v>
      </c>
      <c r="J780" s="34"/>
    </row>
    <row r="781" spans="1:10" x14ac:dyDescent="0.25">
      <c r="A781" s="51" t="s">
        <v>1529</v>
      </c>
      <c r="B781" s="28">
        <v>5000011472</v>
      </c>
      <c r="C781" s="42" t="s">
        <v>1530</v>
      </c>
      <c r="D781" s="35" t="s">
        <v>29</v>
      </c>
      <c r="E781" s="31"/>
      <c r="F781" s="32">
        <v>1029.32</v>
      </c>
      <c r="G781" s="33">
        <f t="shared" si="60"/>
        <v>0</v>
      </c>
      <c r="H781" s="33">
        <f>ROUND('[1]RESUMO DA PROPOSTA'!$C$21*F781,2)</f>
        <v>1338.12</v>
      </c>
      <c r="I781" s="33">
        <f t="shared" si="61"/>
        <v>0</v>
      </c>
      <c r="J781" s="34"/>
    </row>
    <row r="782" spans="1:10" x14ac:dyDescent="0.25">
      <c r="A782" s="51" t="s">
        <v>1531</v>
      </c>
      <c r="B782" s="28">
        <v>5000011378</v>
      </c>
      <c r="C782" s="42" t="s">
        <v>1532</v>
      </c>
      <c r="D782" s="35" t="s">
        <v>29</v>
      </c>
      <c r="E782" s="31"/>
      <c r="F782" s="32">
        <v>3845.18</v>
      </c>
      <c r="G782" s="33">
        <f t="shared" si="60"/>
        <v>0</v>
      </c>
      <c r="H782" s="33">
        <f>ROUND('[1]RESUMO DA PROPOSTA'!$C$22*F782,2)</f>
        <v>6152.29</v>
      </c>
      <c r="I782" s="33">
        <f t="shared" si="61"/>
        <v>0</v>
      </c>
      <c r="J782" s="34"/>
    </row>
    <row r="783" spans="1:10" x14ac:dyDescent="0.25">
      <c r="A783" s="51" t="s">
        <v>1533</v>
      </c>
      <c r="B783" s="28">
        <v>5000011379</v>
      </c>
      <c r="C783" s="42" t="s">
        <v>1534</v>
      </c>
      <c r="D783" s="35" t="s">
        <v>29</v>
      </c>
      <c r="E783" s="31"/>
      <c r="F783" s="32">
        <v>3787.65</v>
      </c>
      <c r="G783" s="33">
        <f t="shared" si="60"/>
        <v>0</v>
      </c>
      <c r="H783" s="33">
        <f>ROUND('[1]RESUMO DA PROPOSTA'!$C$22*F783,2)</f>
        <v>6060.24</v>
      </c>
      <c r="I783" s="33">
        <f t="shared" si="61"/>
        <v>0</v>
      </c>
      <c r="J783" s="34"/>
    </row>
    <row r="784" spans="1:10" x14ac:dyDescent="0.25">
      <c r="A784" s="51" t="s">
        <v>1535</v>
      </c>
      <c r="B784" s="28">
        <v>5000011380</v>
      </c>
      <c r="C784" s="42" t="s">
        <v>1536</v>
      </c>
      <c r="D784" s="35" t="s">
        <v>29</v>
      </c>
      <c r="E784" s="31"/>
      <c r="F784" s="32">
        <v>396.44</v>
      </c>
      <c r="G784" s="33">
        <f t="shared" si="60"/>
        <v>0</v>
      </c>
      <c r="H784" s="33">
        <f>ROUND('[1]RESUMO DA PROPOSTA'!$C$22*F784,2)</f>
        <v>634.29999999999995</v>
      </c>
      <c r="I784" s="33">
        <f t="shared" si="61"/>
        <v>0</v>
      </c>
      <c r="J784" s="34"/>
    </row>
    <row r="785" spans="1:10" x14ac:dyDescent="0.25">
      <c r="A785" s="51" t="s">
        <v>1537</v>
      </c>
      <c r="B785" s="28">
        <v>5000011079</v>
      </c>
      <c r="C785" s="42" t="s">
        <v>1538</v>
      </c>
      <c r="D785" s="35" t="s">
        <v>120</v>
      </c>
      <c r="E785" s="31"/>
      <c r="F785" s="32">
        <v>89.9</v>
      </c>
      <c r="G785" s="33">
        <f t="shared" si="60"/>
        <v>0</v>
      </c>
      <c r="H785" s="33">
        <f>ROUND('[1]RESUMO DA PROPOSTA'!$C$21*F785,2)</f>
        <v>116.87</v>
      </c>
      <c r="I785" s="33">
        <f t="shared" si="61"/>
        <v>0</v>
      </c>
      <c r="J785" s="34"/>
    </row>
    <row r="786" spans="1:10" ht="15.75" x14ac:dyDescent="0.25">
      <c r="A786" s="43" t="s">
        <v>1539</v>
      </c>
      <c r="B786" s="44"/>
      <c r="C786" s="45" t="s">
        <v>1540</v>
      </c>
      <c r="D786" s="46"/>
      <c r="E786" s="47"/>
      <c r="F786" s="48" t="s">
        <v>17</v>
      </c>
      <c r="G786" s="49">
        <f>SUBTOTAL(9,G787:G790)</f>
        <v>0</v>
      </c>
      <c r="H786" s="48" t="s">
        <v>17</v>
      </c>
      <c r="I786" s="49">
        <f>SUBTOTAL(9,I787:I790)</f>
        <v>0</v>
      </c>
      <c r="J786" s="50"/>
    </row>
    <row r="787" spans="1:10" x14ac:dyDescent="0.25">
      <c r="A787" s="51" t="s">
        <v>1541</v>
      </c>
      <c r="B787" s="28">
        <v>5000006681</v>
      </c>
      <c r="C787" s="42" t="s">
        <v>1542</v>
      </c>
      <c r="D787" s="35" t="s">
        <v>120</v>
      </c>
      <c r="E787" s="31"/>
      <c r="F787" s="32">
        <v>2722.55</v>
      </c>
      <c r="G787" s="33">
        <f>ROUND(E787*F787,2)</f>
        <v>0</v>
      </c>
      <c r="H787" s="33">
        <f>ROUND('[1]RESUMO DA PROPOSTA'!$C$21*F787,2)</f>
        <v>3539.32</v>
      </c>
      <c r="I787" s="33">
        <f>ROUND(E787*H787,2)</f>
        <v>0</v>
      </c>
      <c r="J787" s="34"/>
    </row>
    <row r="788" spans="1:10" x14ac:dyDescent="0.25">
      <c r="A788" s="51" t="s">
        <v>1543</v>
      </c>
      <c r="B788" s="28">
        <v>5000006682</v>
      </c>
      <c r="C788" s="42" t="s">
        <v>1544</v>
      </c>
      <c r="D788" s="35" t="s">
        <v>29</v>
      </c>
      <c r="E788" s="31"/>
      <c r="F788" s="32">
        <v>5297.03</v>
      </c>
      <c r="G788" s="33">
        <f>ROUND(E788*F788,2)</f>
        <v>0</v>
      </c>
      <c r="H788" s="33">
        <f>ROUND('[1]RESUMO DA PROPOSTA'!$C$21*F788,2)</f>
        <v>6886.14</v>
      </c>
      <c r="I788" s="33">
        <f>ROUND(E788*H788,2)</f>
        <v>0</v>
      </c>
      <c r="J788" s="34"/>
    </row>
    <row r="789" spans="1:10" x14ac:dyDescent="0.25">
      <c r="A789" s="51" t="s">
        <v>1545</v>
      </c>
      <c r="B789" s="28">
        <v>5000006683</v>
      </c>
      <c r="C789" s="42" t="s">
        <v>1546</v>
      </c>
      <c r="D789" s="35" t="s">
        <v>29</v>
      </c>
      <c r="E789" s="31"/>
      <c r="F789" s="32">
        <v>218.95</v>
      </c>
      <c r="G789" s="33">
        <f>ROUND(E789*F789,2)</f>
        <v>0</v>
      </c>
      <c r="H789" s="33">
        <f>ROUND('[1]RESUMO DA PROPOSTA'!$C$21*F789,2)</f>
        <v>284.64</v>
      </c>
      <c r="I789" s="33">
        <f>ROUND(E789*H789,2)</f>
        <v>0</v>
      </c>
      <c r="J789" s="34"/>
    </row>
    <row r="790" spans="1:10" x14ac:dyDescent="0.25">
      <c r="A790" s="51" t="s">
        <v>1547</v>
      </c>
      <c r="B790" s="28">
        <v>5000007571</v>
      </c>
      <c r="C790" s="42" t="s">
        <v>1548</v>
      </c>
      <c r="D790" s="35" t="s">
        <v>29</v>
      </c>
      <c r="E790" s="31"/>
      <c r="F790" s="32">
        <v>1175.67</v>
      </c>
      <c r="G790" s="33">
        <f>ROUND(E790*F790,2)</f>
        <v>0</v>
      </c>
      <c r="H790" s="33">
        <f>ROUND('[1]RESUMO DA PROPOSTA'!$C$21*F790,2)</f>
        <v>1528.37</v>
      </c>
      <c r="I790" s="33">
        <f>ROUND(E790*H790,2)</f>
        <v>0</v>
      </c>
      <c r="J790" s="34"/>
    </row>
    <row r="791" spans="1:10" ht="15.75" x14ac:dyDescent="0.25">
      <c r="A791" s="43" t="s">
        <v>1549</v>
      </c>
      <c r="B791" s="44"/>
      <c r="C791" s="45" t="s">
        <v>1550</v>
      </c>
      <c r="D791" s="46"/>
      <c r="E791" s="47"/>
      <c r="F791" s="48" t="s">
        <v>17</v>
      </c>
      <c r="G791" s="49">
        <f>SUBTOTAL(9,G792:G801)</f>
        <v>0</v>
      </c>
      <c r="H791" s="48" t="s">
        <v>17</v>
      </c>
      <c r="I791" s="49">
        <f>SUBTOTAL(9,I792:I801)</f>
        <v>0</v>
      </c>
      <c r="J791" s="50"/>
    </row>
    <row r="792" spans="1:10" x14ac:dyDescent="0.25">
      <c r="A792" s="51" t="s">
        <v>1551</v>
      </c>
      <c r="B792" s="28">
        <v>5000011381</v>
      </c>
      <c r="C792" s="42" t="s">
        <v>1552</v>
      </c>
      <c r="D792" s="35" t="s">
        <v>1553</v>
      </c>
      <c r="E792" s="31"/>
      <c r="F792" s="32">
        <v>2100</v>
      </c>
      <c r="G792" s="33">
        <f t="shared" ref="G792:G801" si="62">ROUND(E792*F792,2)</f>
        <v>0</v>
      </c>
      <c r="H792" s="33">
        <f>ROUND('[1]RESUMO DA PROPOSTA'!$C$21*F792,2)</f>
        <v>2730</v>
      </c>
      <c r="I792" s="33">
        <f t="shared" ref="I792:I801" si="63">ROUND(E792*H792,2)</f>
        <v>0</v>
      </c>
      <c r="J792" s="34"/>
    </row>
    <row r="793" spans="1:10" x14ac:dyDescent="0.25">
      <c r="A793" s="51" t="s">
        <v>1554</v>
      </c>
      <c r="B793" s="28">
        <v>5000007419</v>
      </c>
      <c r="C793" s="42" t="s">
        <v>1555</v>
      </c>
      <c r="D793" s="35" t="s">
        <v>129</v>
      </c>
      <c r="E793" s="31"/>
      <c r="F793" s="32">
        <v>0.72</v>
      </c>
      <c r="G793" s="33">
        <f t="shared" si="62"/>
        <v>0</v>
      </c>
      <c r="H793" s="33">
        <f>ROUND('[1]RESUMO DA PROPOSTA'!$C$21*F793,2)</f>
        <v>0.94</v>
      </c>
      <c r="I793" s="33">
        <f t="shared" si="63"/>
        <v>0</v>
      </c>
      <c r="J793" s="34"/>
    </row>
    <row r="794" spans="1:10" x14ac:dyDescent="0.25">
      <c r="A794" s="51" t="s">
        <v>1556</v>
      </c>
      <c r="B794" s="28">
        <v>5000006671</v>
      </c>
      <c r="C794" s="42" t="s">
        <v>1557</v>
      </c>
      <c r="D794" s="35" t="s">
        <v>129</v>
      </c>
      <c r="E794" s="31"/>
      <c r="F794" s="32">
        <v>0.19</v>
      </c>
      <c r="G794" s="33">
        <f t="shared" si="62"/>
        <v>0</v>
      </c>
      <c r="H794" s="33">
        <f>ROUND('[1]RESUMO DA PROPOSTA'!$C$21*F794,2)</f>
        <v>0.25</v>
      </c>
      <c r="I794" s="33">
        <f t="shared" si="63"/>
        <v>0</v>
      </c>
      <c r="J794" s="34"/>
    </row>
    <row r="795" spans="1:10" x14ac:dyDescent="0.25">
      <c r="A795" s="51" t="s">
        <v>1558</v>
      </c>
      <c r="B795" s="28">
        <v>5000007424</v>
      </c>
      <c r="C795" s="42" t="s">
        <v>1559</v>
      </c>
      <c r="D795" s="35" t="s">
        <v>129</v>
      </c>
      <c r="E795" s="31"/>
      <c r="F795" s="32">
        <v>2.12</v>
      </c>
      <c r="G795" s="33">
        <f t="shared" si="62"/>
        <v>0</v>
      </c>
      <c r="H795" s="33">
        <f>ROUND('[1]RESUMO DA PROPOSTA'!$C$21*F795,2)</f>
        <v>2.76</v>
      </c>
      <c r="I795" s="33">
        <f t="shared" si="63"/>
        <v>0</v>
      </c>
      <c r="J795" s="34"/>
    </row>
    <row r="796" spans="1:10" x14ac:dyDescent="0.25">
      <c r="A796" s="51" t="s">
        <v>1560</v>
      </c>
      <c r="B796" s="28">
        <v>5000007710</v>
      </c>
      <c r="C796" s="42" t="s">
        <v>1561</v>
      </c>
      <c r="D796" s="35" t="s">
        <v>20</v>
      </c>
      <c r="E796" s="31"/>
      <c r="F796" s="32">
        <v>2119.56</v>
      </c>
      <c r="G796" s="33">
        <f t="shared" si="62"/>
        <v>0</v>
      </c>
      <c r="H796" s="33">
        <f>ROUND('[1]RESUMO DA PROPOSTA'!$C$21*F796,2)</f>
        <v>2755.43</v>
      </c>
      <c r="I796" s="33">
        <f t="shared" si="63"/>
        <v>0</v>
      </c>
      <c r="J796" s="34"/>
    </row>
    <row r="797" spans="1:10" x14ac:dyDescent="0.25">
      <c r="A797" s="51" t="s">
        <v>1562</v>
      </c>
      <c r="B797" s="28">
        <v>5000006670</v>
      </c>
      <c r="C797" s="42" t="s">
        <v>1563</v>
      </c>
      <c r="D797" s="35" t="s">
        <v>129</v>
      </c>
      <c r="E797" s="31"/>
      <c r="F797" s="32">
        <v>0.72</v>
      </c>
      <c r="G797" s="33">
        <f t="shared" si="62"/>
        <v>0</v>
      </c>
      <c r="H797" s="33">
        <f>ROUND('[1]RESUMO DA PROPOSTA'!$C$21*F797,2)</f>
        <v>0.94</v>
      </c>
      <c r="I797" s="33">
        <f t="shared" si="63"/>
        <v>0</v>
      </c>
      <c r="J797" s="34"/>
    </row>
    <row r="798" spans="1:10" x14ac:dyDescent="0.25">
      <c r="A798" s="51" t="s">
        <v>1564</v>
      </c>
      <c r="B798" s="28">
        <v>5000007420</v>
      </c>
      <c r="C798" s="42" t="s">
        <v>1565</v>
      </c>
      <c r="D798" s="35" t="s">
        <v>29</v>
      </c>
      <c r="E798" s="31"/>
      <c r="F798" s="32">
        <v>44.3</v>
      </c>
      <c r="G798" s="33">
        <f t="shared" si="62"/>
        <v>0</v>
      </c>
      <c r="H798" s="33">
        <f>ROUND('[1]RESUMO DA PROPOSTA'!$C$21*F798,2)</f>
        <v>57.59</v>
      </c>
      <c r="I798" s="33">
        <f t="shared" si="63"/>
        <v>0</v>
      </c>
      <c r="J798" s="34"/>
    </row>
    <row r="799" spans="1:10" x14ac:dyDescent="0.25">
      <c r="A799" s="51" t="s">
        <v>1566</v>
      </c>
      <c r="B799" s="28">
        <v>5000007421</v>
      </c>
      <c r="C799" s="42" t="s">
        <v>1567</v>
      </c>
      <c r="D799" s="35" t="s">
        <v>29</v>
      </c>
      <c r="E799" s="31"/>
      <c r="F799" s="32">
        <v>98.44</v>
      </c>
      <c r="G799" s="33">
        <f t="shared" si="62"/>
        <v>0</v>
      </c>
      <c r="H799" s="33">
        <f>ROUND('[1]RESUMO DA PROPOSTA'!$C$21*F799,2)</f>
        <v>127.97</v>
      </c>
      <c r="I799" s="33">
        <f t="shared" si="63"/>
        <v>0</v>
      </c>
      <c r="J799" s="34"/>
    </row>
    <row r="800" spans="1:10" x14ac:dyDescent="0.25">
      <c r="A800" s="51" t="s">
        <v>1568</v>
      </c>
      <c r="B800" s="28">
        <v>5000007422</v>
      </c>
      <c r="C800" s="42" t="s">
        <v>1569</v>
      </c>
      <c r="D800" s="35" t="s">
        <v>29</v>
      </c>
      <c r="E800" s="31"/>
      <c r="F800" s="32">
        <v>29.53</v>
      </c>
      <c r="G800" s="33">
        <f t="shared" si="62"/>
        <v>0</v>
      </c>
      <c r="H800" s="33">
        <f>ROUND('[1]RESUMO DA PROPOSTA'!$C$21*F800,2)</f>
        <v>38.39</v>
      </c>
      <c r="I800" s="33">
        <f t="shared" si="63"/>
        <v>0</v>
      </c>
      <c r="J800" s="34"/>
    </row>
    <row r="801" spans="1:10" x14ac:dyDescent="0.25">
      <c r="A801" s="51" t="s">
        <v>1570</v>
      </c>
      <c r="B801" s="28">
        <v>5000007423</v>
      </c>
      <c r="C801" s="42" t="s">
        <v>1571</v>
      </c>
      <c r="D801" s="35" t="s">
        <v>29</v>
      </c>
      <c r="E801" s="31"/>
      <c r="F801" s="32">
        <v>65.62</v>
      </c>
      <c r="G801" s="33">
        <f t="shared" si="62"/>
        <v>0</v>
      </c>
      <c r="H801" s="33">
        <f>ROUND('[1]RESUMO DA PROPOSTA'!$C$21*F801,2)</f>
        <v>85.31</v>
      </c>
      <c r="I801" s="33">
        <f t="shared" si="63"/>
        <v>0</v>
      </c>
      <c r="J801" s="34"/>
    </row>
    <row r="802" spans="1:10" ht="15.75" x14ac:dyDescent="0.25">
      <c r="A802" s="43" t="s">
        <v>1572</v>
      </c>
      <c r="B802" s="44"/>
      <c r="C802" s="45" t="s">
        <v>1573</v>
      </c>
      <c r="D802" s="46"/>
      <c r="E802" s="47"/>
      <c r="F802" s="48" t="s">
        <v>17</v>
      </c>
      <c r="G802" s="49">
        <f>SUBTOTAL(9,G803:G819)</f>
        <v>0</v>
      </c>
      <c r="H802" s="48" t="s">
        <v>17</v>
      </c>
      <c r="I802" s="49">
        <f>SUBTOTAL(9,I803:I819)</f>
        <v>0</v>
      </c>
      <c r="J802" s="50"/>
    </row>
    <row r="803" spans="1:10" x14ac:dyDescent="0.25">
      <c r="A803" s="51" t="s">
        <v>1574</v>
      </c>
      <c r="B803" s="28">
        <v>5000011382</v>
      </c>
      <c r="C803" s="42" t="s">
        <v>1575</v>
      </c>
      <c r="D803" s="35" t="s">
        <v>29</v>
      </c>
      <c r="E803" s="31"/>
      <c r="F803" s="32">
        <v>37337.06</v>
      </c>
      <c r="G803" s="33">
        <f t="shared" ref="G803:G819" si="64">ROUND(E803*F803,2)</f>
        <v>0</v>
      </c>
      <c r="H803" s="33">
        <f>ROUND('[1]RESUMO DA PROPOSTA'!$C$21*F803,2)</f>
        <v>48538.18</v>
      </c>
      <c r="I803" s="33">
        <f t="shared" ref="I803:I819" si="65">ROUND(E803*H803,2)</f>
        <v>0</v>
      </c>
      <c r="J803" s="34"/>
    </row>
    <row r="804" spans="1:10" x14ac:dyDescent="0.25">
      <c r="A804" s="51" t="s">
        <v>1576</v>
      </c>
      <c r="B804" s="28">
        <v>5000011383</v>
      </c>
      <c r="C804" s="42" t="s">
        <v>1577</v>
      </c>
      <c r="D804" s="35" t="s">
        <v>29</v>
      </c>
      <c r="E804" s="31"/>
      <c r="F804" s="32">
        <v>123109.53</v>
      </c>
      <c r="G804" s="33">
        <f t="shared" si="64"/>
        <v>0</v>
      </c>
      <c r="H804" s="33">
        <f>ROUND('[1]RESUMO DA PROPOSTA'!$C$21*F804,2)</f>
        <v>160042.39000000001</v>
      </c>
      <c r="I804" s="33">
        <f t="shared" si="65"/>
        <v>0</v>
      </c>
      <c r="J804" s="34"/>
    </row>
    <row r="805" spans="1:10" x14ac:dyDescent="0.25">
      <c r="A805" s="51" t="s">
        <v>1578</v>
      </c>
      <c r="B805" s="28">
        <v>5000011384</v>
      </c>
      <c r="C805" s="42" t="s">
        <v>1579</v>
      </c>
      <c r="D805" s="35" t="s">
        <v>29</v>
      </c>
      <c r="E805" s="31"/>
      <c r="F805" s="32">
        <v>180391.54</v>
      </c>
      <c r="G805" s="33">
        <f t="shared" si="64"/>
        <v>0</v>
      </c>
      <c r="H805" s="33">
        <f>ROUND('[1]RESUMO DA PROPOSTA'!$C$21*F805,2)</f>
        <v>234509</v>
      </c>
      <c r="I805" s="33">
        <f t="shared" si="65"/>
        <v>0</v>
      </c>
      <c r="J805" s="34"/>
    </row>
    <row r="806" spans="1:10" x14ac:dyDescent="0.25">
      <c r="A806" s="51" t="s">
        <v>1580</v>
      </c>
      <c r="B806" s="28">
        <v>5000006687</v>
      </c>
      <c r="C806" s="42" t="s">
        <v>1581</v>
      </c>
      <c r="D806" s="35" t="s">
        <v>29</v>
      </c>
      <c r="E806" s="31"/>
      <c r="F806" s="32">
        <v>13</v>
      </c>
      <c r="G806" s="33">
        <f t="shared" si="64"/>
        <v>0</v>
      </c>
      <c r="H806" s="33">
        <f>ROUND('[1]RESUMO DA PROPOSTA'!$C$21*F806,2)</f>
        <v>16.899999999999999</v>
      </c>
      <c r="I806" s="33">
        <f t="shared" si="65"/>
        <v>0</v>
      </c>
      <c r="J806" s="34"/>
    </row>
    <row r="807" spans="1:10" x14ac:dyDescent="0.25">
      <c r="A807" s="51" t="s">
        <v>1582</v>
      </c>
      <c r="B807" s="28">
        <v>5000006688</v>
      </c>
      <c r="C807" s="42" t="s">
        <v>1583</v>
      </c>
      <c r="D807" s="35" t="s">
        <v>29</v>
      </c>
      <c r="E807" s="31"/>
      <c r="F807" s="32">
        <v>7</v>
      </c>
      <c r="G807" s="33">
        <f t="shared" si="64"/>
        <v>0</v>
      </c>
      <c r="H807" s="33">
        <f>ROUND('[1]RESUMO DA PROPOSTA'!$C$21*F807,2)</f>
        <v>9.1</v>
      </c>
      <c r="I807" s="33">
        <f t="shared" si="65"/>
        <v>0</v>
      </c>
      <c r="J807" s="34"/>
    </row>
    <row r="808" spans="1:10" x14ac:dyDescent="0.25">
      <c r="A808" s="51" t="s">
        <v>1584</v>
      </c>
      <c r="B808" s="28">
        <v>5000006689</v>
      </c>
      <c r="C808" s="42" t="s">
        <v>1585</v>
      </c>
      <c r="D808" s="35" t="s">
        <v>463</v>
      </c>
      <c r="E808" s="31"/>
      <c r="F808" s="32">
        <v>14.3</v>
      </c>
      <c r="G808" s="33">
        <f t="shared" si="64"/>
        <v>0</v>
      </c>
      <c r="H808" s="33">
        <f>ROUND('[1]RESUMO DA PROPOSTA'!$C$21*F808,2)</f>
        <v>18.59</v>
      </c>
      <c r="I808" s="33">
        <f t="shared" si="65"/>
        <v>0</v>
      </c>
      <c r="J808" s="34"/>
    </row>
    <row r="809" spans="1:10" x14ac:dyDescent="0.25">
      <c r="A809" s="51" t="s">
        <v>1586</v>
      </c>
      <c r="B809" s="28">
        <v>5000006690</v>
      </c>
      <c r="C809" s="42" t="s">
        <v>1587</v>
      </c>
      <c r="D809" s="35" t="s">
        <v>463</v>
      </c>
      <c r="E809" s="31"/>
      <c r="F809" s="32">
        <v>15.6</v>
      </c>
      <c r="G809" s="33">
        <f t="shared" si="64"/>
        <v>0</v>
      </c>
      <c r="H809" s="33">
        <f>ROUND('[1]RESUMO DA PROPOSTA'!$C$21*F809,2)</f>
        <v>20.28</v>
      </c>
      <c r="I809" s="33">
        <f t="shared" si="65"/>
        <v>0</v>
      </c>
      <c r="J809" s="34"/>
    </row>
    <row r="810" spans="1:10" x14ac:dyDescent="0.25">
      <c r="A810" s="51" t="s">
        <v>1588</v>
      </c>
      <c r="B810" s="28">
        <v>5000006691</v>
      </c>
      <c r="C810" s="42" t="s">
        <v>1589</v>
      </c>
      <c r="D810" s="35" t="s">
        <v>463</v>
      </c>
      <c r="E810" s="31"/>
      <c r="F810" s="32">
        <v>24.7</v>
      </c>
      <c r="G810" s="33">
        <f t="shared" si="64"/>
        <v>0</v>
      </c>
      <c r="H810" s="33">
        <f>ROUND('[1]RESUMO DA PROPOSTA'!$C$21*F810,2)</f>
        <v>32.11</v>
      </c>
      <c r="I810" s="33">
        <f t="shared" si="65"/>
        <v>0</v>
      </c>
      <c r="J810" s="34"/>
    </row>
    <row r="811" spans="1:10" x14ac:dyDescent="0.25">
      <c r="A811" s="51" t="s">
        <v>1590</v>
      </c>
      <c r="B811" s="28">
        <v>5000006692</v>
      </c>
      <c r="C811" s="42" t="s">
        <v>1591</v>
      </c>
      <c r="D811" s="35" t="s">
        <v>1592</v>
      </c>
      <c r="E811" s="31"/>
      <c r="F811" s="32">
        <v>273</v>
      </c>
      <c r="G811" s="33">
        <f t="shared" si="64"/>
        <v>0</v>
      </c>
      <c r="H811" s="33">
        <f>ROUND('[1]RESUMO DA PROPOSTA'!$C$21*F811,2)</f>
        <v>354.9</v>
      </c>
      <c r="I811" s="33">
        <f t="shared" si="65"/>
        <v>0</v>
      </c>
      <c r="J811" s="34"/>
    </row>
    <row r="812" spans="1:10" x14ac:dyDescent="0.25">
      <c r="A812" s="51" t="s">
        <v>1593</v>
      </c>
      <c r="B812" s="28">
        <v>5000006693</v>
      </c>
      <c r="C812" s="42" t="s">
        <v>1594</v>
      </c>
      <c r="D812" s="35" t="s">
        <v>1592</v>
      </c>
      <c r="E812" s="31"/>
      <c r="F812" s="32">
        <v>204.75</v>
      </c>
      <c r="G812" s="33">
        <f t="shared" si="64"/>
        <v>0</v>
      </c>
      <c r="H812" s="33">
        <f>ROUND('[1]RESUMO DA PROPOSTA'!$C$21*F812,2)</f>
        <v>266.18</v>
      </c>
      <c r="I812" s="33">
        <f t="shared" si="65"/>
        <v>0</v>
      </c>
      <c r="J812" s="34"/>
    </row>
    <row r="813" spans="1:10" x14ac:dyDescent="0.25">
      <c r="A813" s="51" t="s">
        <v>1595</v>
      </c>
      <c r="B813" s="28">
        <v>5000006694</v>
      </c>
      <c r="C813" s="42" t="s">
        <v>1596</v>
      </c>
      <c r="D813" s="35" t="s">
        <v>1592</v>
      </c>
      <c r="E813" s="31"/>
      <c r="F813" s="32">
        <v>136.5</v>
      </c>
      <c r="G813" s="33">
        <f t="shared" si="64"/>
        <v>0</v>
      </c>
      <c r="H813" s="33">
        <f>ROUND('[1]RESUMO DA PROPOSTA'!$C$21*F813,2)</f>
        <v>177.45</v>
      </c>
      <c r="I813" s="33">
        <f t="shared" si="65"/>
        <v>0</v>
      </c>
      <c r="J813" s="34"/>
    </row>
    <row r="814" spans="1:10" x14ac:dyDescent="0.25">
      <c r="A814" s="51" t="s">
        <v>1597</v>
      </c>
      <c r="B814" s="28">
        <v>5000006755</v>
      </c>
      <c r="C814" s="42" t="s">
        <v>1598</v>
      </c>
      <c r="D814" s="35" t="s">
        <v>29</v>
      </c>
      <c r="E814" s="31"/>
      <c r="F814" s="32">
        <v>3014.32</v>
      </c>
      <c r="G814" s="33">
        <f t="shared" si="64"/>
        <v>0</v>
      </c>
      <c r="H814" s="33">
        <f>ROUND('[1]RESUMO DA PROPOSTA'!$C$21*F814,2)</f>
        <v>3918.62</v>
      </c>
      <c r="I814" s="33">
        <f t="shared" si="65"/>
        <v>0</v>
      </c>
      <c r="J814" s="34"/>
    </row>
    <row r="815" spans="1:10" x14ac:dyDescent="0.25">
      <c r="A815" s="51" t="s">
        <v>1599</v>
      </c>
      <c r="B815" s="28">
        <v>3000016269</v>
      </c>
      <c r="C815" s="42" t="s">
        <v>1600</v>
      </c>
      <c r="D815" s="35" t="s">
        <v>129</v>
      </c>
      <c r="E815" s="31"/>
      <c r="F815" s="32">
        <v>30.86</v>
      </c>
      <c r="G815" s="33">
        <f t="shared" si="64"/>
        <v>0</v>
      </c>
      <c r="H815" s="33">
        <f>ROUND('[1]RESUMO DA PROPOSTA'!$C$21*F815,2)</f>
        <v>40.119999999999997</v>
      </c>
      <c r="I815" s="33">
        <f t="shared" si="65"/>
        <v>0</v>
      </c>
      <c r="J815" s="34"/>
    </row>
    <row r="816" spans="1:10" x14ac:dyDescent="0.25">
      <c r="A816" s="51" t="s">
        <v>1601</v>
      </c>
      <c r="B816" s="28">
        <v>5000007494</v>
      </c>
      <c r="C816" s="42" t="s">
        <v>1602</v>
      </c>
      <c r="D816" s="35" t="s">
        <v>1592</v>
      </c>
      <c r="E816" s="31"/>
      <c r="F816" s="32">
        <v>22605.29</v>
      </c>
      <c r="G816" s="33">
        <f t="shared" si="64"/>
        <v>0</v>
      </c>
      <c r="H816" s="33">
        <f>ROUND('[1]RESUMO DA PROPOSTA'!$C$21*F816,2)</f>
        <v>29386.880000000001</v>
      </c>
      <c r="I816" s="33">
        <f t="shared" si="65"/>
        <v>0</v>
      </c>
      <c r="J816" s="34"/>
    </row>
    <row r="817" spans="1:10" x14ac:dyDescent="0.25">
      <c r="A817" s="51" t="s">
        <v>1603</v>
      </c>
      <c r="B817" s="28">
        <v>5000007495</v>
      </c>
      <c r="C817" s="42" t="s">
        <v>1604</v>
      </c>
      <c r="D817" s="35" t="s">
        <v>1592</v>
      </c>
      <c r="E817" s="31"/>
      <c r="F817" s="32">
        <v>11302.65</v>
      </c>
      <c r="G817" s="33">
        <f t="shared" si="64"/>
        <v>0</v>
      </c>
      <c r="H817" s="33">
        <f>ROUND('[1]RESUMO DA PROPOSTA'!$C$21*F817,2)</f>
        <v>14693.45</v>
      </c>
      <c r="I817" s="33">
        <f t="shared" si="65"/>
        <v>0</v>
      </c>
      <c r="J817" s="34"/>
    </row>
    <row r="818" spans="1:10" x14ac:dyDescent="0.25">
      <c r="A818" s="51" t="s">
        <v>1605</v>
      </c>
      <c r="B818" s="28">
        <v>5000007496</v>
      </c>
      <c r="C818" s="42" t="s">
        <v>1606</v>
      </c>
      <c r="D818" s="35" t="s">
        <v>29</v>
      </c>
      <c r="E818" s="31"/>
      <c r="F818" s="32">
        <v>6</v>
      </c>
      <c r="G818" s="33">
        <f t="shared" si="64"/>
        <v>0</v>
      </c>
      <c r="H818" s="33">
        <f>ROUND('[1]RESUMO DA PROPOSTA'!$C$21*F818,2)</f>
        <v>7.8</v>
      </c>
      <c r="I818" s="33">
        <f t="shared" si="65"/>
        <v>0</v>
      </c>
      <c r="J818" s="34"/>
    </row>
    <row r="819" spans="1:10" ht="25.5" x14ac:dyDescent="0.25">
      <c r="A819" s="51" t="s">
        <v>1607</v>
      </c>
      <c r="B819" s="28">
        <v>5000007661</v>
      </c>
      <c r="C819" s="42" t="s">
        <v>1608</v>
      </c>
      <c r="D819" s="35" t="s">
        <v>129</v>
      </c>
      <c r="E819" s="31"/>
      <c r="F819" s="32">
        <v>30.19</v>
      </c>
      <c r="G819" s="33">
        <f t="shared" si="64"/>
        <v>0</v>
      </c>
      <c r="H819" s="33">
        <f>ROUND('[1]RESUMO DA PROPOSTA'!$C$21*F819,2)</f>
        <v>39.25</v>
      </c>
      <c r="I819" s="33">
        <f t="shared" si="65"/>
        <v>0</v>
      </c>
      <c r="J819" s="34"/>
    </row>
    <row r="820" spans="1:10" ht="15.75" x14ac:dyDescent="0.25">
      <c r="A820" s="18" t="s">
        <v>1609</v>
      </c>
      <c r="B820" s="19"/>
      <c r="C820" s="20" t="s">
        <v>1610</v>
      </c>
      <c r="D820" s="21"/>
      <c r="E820" s="40"/>
      <c r="F820" s="23" t="s">
        <v>17</v>
      </c>
      <c r="G820" s="24">
        <f>SUBTOTAL(9,G821:G877)</f>
        <v>0</v>
      </c>
      <c r="H820" s="25" t="s">
        <v>17</v>
      </c>
      <c r="I820" s="24">
        <f>SUBTOTAL(9,I821:I877)</f>
        <v>0</v>
      </c>
      <c r="J820" s="26"/>
    </row>
    <row r="821" spans="1:10" ht="15.75" x14ac:dyDescent="0.25">
      <c r="A821" s="43" t="s">
        <v>1611</v>
      </c>
      <c r="B821" s="44"/>
      <c r="C821" s="45" t="s">
        <v>1612</v>
      </c>
      <c r="D821" s="46"/>
      <c r="E821" s="47"/>
      <c r="F821" s="48" t="s">
        <v>17</v>
      </c>
      <c r="G821" s="49">
        <f>SUBTOTAL(9,G822:G826)</f>
        <v>0</v>
      </c>
      <c r="H821" s="48" t="s">
        <v>17</v>
      </c>
      <c r="I821" s="49">
        <f>SUBTOTAL(9,I822:I826)</f>
        <v>0</v>
      </c>
      <c r="J821" s="50"/>
    </row>
    <row r="822" spans="1:10" x14ac:dyDescent="0.25">
      <c r="A822" s="51" t="s">
        <v>1613</v>
      </c>
      <c r="B822" s="28">
        <v>5000007435</v>
      </c>
      <c r="C822" s="42" t="s">
        <v>1614</v>
      </c>
      <c r="D822" s="30" t="s">
        <v>20</v>
      </c>
      <c r="E822" s="31"/>
      <c r="F822" s="32">
        <v>2500</v>
      </c>
      <c r="G822" s="33">
        <f>ROUND(E822*F822,2)</f>
        <v>0</v>
      </c>
      <c r="H822" s="33">
        <f>ROUND('[1]RESUMO DA PROPOSTA'!$C$22*F822,2)</f>
        <v>4000</v>
      </c>
      <c r="I822" s="33">
        <f>ROUND(E822*H822,2)</f>
        <v>0</v>
      </c>
      <c r="J822" s="34"/>
    </row>
    <row r="823" spans="1:10" x14ac:dyDescent="0.25">
      <c r="A823" s="51" t="s">
        <v>1615</v>
      </c>
      <c r="B823" s="28">
        <v>5000007775</v>
      </c>
      <c r="C823" s="42" t="s">
        <v>1616</v>
      </c>
      <c r="D823" s="30" t="s">
        <v>20</v>
      </c>
      <c r="E823" s="31"/>
      <c r="F823" s="32">
        <v>1500</v>
      </c>
      <c r="G823" s="33">
        <f>ROUND(E823*F823,2)</f>
        <v>0</v>
      </c>
      <c r="H823" s="33">
        <f>ROUND('[1]RESUMO DA PROPOSTA'!$C$22*F823,2)</f>
        <v>2400</v>
      </c>
      <c r="I823" s="33">
        <f>ROUND(E823*H823,2)</f>
        <v>0</v>
      </c>
      <c r="J823" s="34"/>
    </row>
    <row r="824" spans="1:10" x14ac:dyDescent="0.25">
      <c r="A824" s="51" t="s">
        <v>1617</v>
      </c>
      <c r="B824" s="28">
        <v>5000007418</v>
      </c>
      <c r="C824" s="42" t="s">
        <v>1618</v>
      </c>
      <c r="D824" s="30" t="s">
        <v>29</v>
      </c>
      <c r="E824" s="31"/>
      <c r="F824" s="32">
        <v>215.39</v>
      </c>
      <c r="G824" s="33">
        <f>ROUND(E824*F824,2)</f>
        <v>0</v>
      </c>
      <c r="H824" s="33">
        <f>ROUND('[1]RESUMO DA PROPOSTA'!$C$22*F824,2)</f>
        <v>344.62</v>
      </c>
      <c r="I824" s="33">
        <f>ROUND(E824*H824,2)</f>
        <v>0</v>
      </c>
      <c r="J824" s="34"/>
    </row>
    <row r="825" spans="1:10" x14ac:dyDescent="0.25">
      <c r="A825" s="51" t="s">
        <v>1619</v>
      </c>
      <c r="B825" s="28">
        <v>5000007417</v>
      </c>
      <c r="C825" s="42" t="s">
        <v>1620</v>
      </c>
      <c r="D825" s="30" t="s">
        <v>29</v>
      </c>
      <c r="E825" s="31"/>
      <c r="F825" s="32">
        <v>103.19</v>
      </c>
      <c r="G825" s="33">
        <f>ROUND(E825*F825,2)</f>
        <v>0</v>
      </c>
      <c r="H825" s="33">
        <f>ROUND('[1]RESUMO DA PROPOSTA'!$C$22*F825,2)</f>
        <v>165.1</v>
      </c>
      <c r="I825" s="33">
        <f>ROUND(E825*H825,2)</f>
        <v>0</v>
      </c>
      <c r="J825" s="34"/>
    </row>
    <row r="826" spans="1:10" x14ac:dyDescent="0.25">
      <c r="A826" s="51" t="s">
        <v>1621</v>
      </c>
      <c r="B826" s="28">
        <v>5000007774</v>
      </c>
      <c r="C826" s="42" t="s">
        <v>1622</v>
      </c>
      <c r="D826" s="30" t="s">
        <v>29</v>
      </c>
      <c r="E826" s="31"/>
      <c r="F826" s="32">
        <v>261.13</v>
      </c>
      <c r="G826" s="33">
        <f>ROUND(E826*F826,2)</f>
        <v>0</v>
      </c>
      <c r="H826" s="33">
        <f>ROUND('[1]RESUMO DA PROPOSTA'!$C$22*F826,2)</f>
        <v>417.81</v>
      </c>
      <c r="I826" s="33">
        <f>ROUND(E826*H826,2)</f>
        <v>0</v>
      </c>
      <c r="J826" s="34"/>
    </row>
    <row r="827" spans="1:10" ht="15.75" x14ac:dyDescent="0.25">
      <c r="A827" s="43" t="s">
        <v>1623</v>
      </c>
      <c r="B827" s="44"/>
      <c r="C827" s="45" t="s">
        <v>1624</v>
      </c>
      <c r="D827" s="46"/>
      <c r="E827" s="47"/>
      <c r="F827" s="48" t="s">
        <v>17</v>
      </c>
      <c r="G827" s="49">
        <f>SUBTOTAL(9,G828:G833)</f>
        <v>0</v>
      </c>
      <c r="H827" s="48" t="s">
        <v>17</v>
      </c>
      <c r="I827" s="49">
        <f>SUBTOTAL(9,I828:I833)</f>
        <v>0</v>
      </c>
      <c r="J827" s="50"/>
    </row>
    <row r="828" spans="1:10" x14ac:dyDescent="0.25">
      <c r="A828" s="51" t="s">
        <v>1625</v>
      </c>
      <c r="B828" s="28">
        <v>5000008972</v>
      </c>
      <c r="C828" s="42" t="s">
        <v>1626</v>
      </c>
      <c r="D828" s="30" t="s">
        <v>29</v>
      </c>
      <c r="E828" s="31"/>
      <c r="F828" s="32">
        <v>323.06</v>
      </c>
      <c r="G828" s="33">
        <f>ROUND(E828*F828,2)</f>
        <v>0</v>
      </c>
      <c r="H828" s="33">
        <f>ROUND('[1]RESUMO DA PROPOSTA'!$C$22*F828,2)</f>
        <v>516.9</v>
      </c>
      <c r="I828" s="33">
        <f>ROUND(E828*H828,2)</f>
        <v>0</v>
      </c>
      <c r="J828" s="34"/>
    </row>
    <row r="829" spans="1:10" x14ac:dyDescent="0.25">
      <c r="A829" s="51" t="s">
        <v>1627</v>
      </c>
      <c r="B829" s="28">
        <v>5000008970</v>
      </c>
      <c r="C829" s="42" t="s">
        <v>1628</v>
      </c>
      <c r="D829" s="30" t="s">
        <v>29</v>
      </c>
      <c r="E829" s="31"/>
      <c r="F829" s="32">
        <v>426.98</v>
      </c>
      <c r="G829" s="33">
        <f>ROUND(E829*F829,2)</f>
        <v>0</v>
      </c>
      <c r="H829" s="33">
        <f>ROUND('[1]RESUMO DA PROPOSTA'!$C$22*F829,2)</f>
        <v>683.17</v>
      </c>
      <c r="I829" s="33">
        <f>ROUND(E829*H829,2)</f>
        <v>0</v>
      </c>
      <c r="J829" s="34"/>
    </row>
    <row r="830" spans="1:10" x14ac:dyDescent="0.25">
      <c r="A830" s="51" t="s">
        <v>1629</v>
      </c>
      <c r="B830" s="28">
        <v>5000007498</v>
      </c>
      <c r="C830" s="42" t="s">
        <v>1630</v>
      </c>
      <c r="D830" s="30" t="s">
        <v>29</v>
      </c>
      <c r="E830" s="31"/>
      <c r="F830" s="32">
        <v>290.75</v>
      </c>
      <c r="G830" s="33">
        <f>ROUND(E830*F830,2)</f>
        <v>0</v>
      </c>
      <c r="H830" s="33">
        <f>ROUND('[1]RESUMO DA PROPOSTA'!$C$22*F830,2)</f>
        <v>465.2</v>
      </c>
      <c r="I830" s="33">
        <f>ROUND(E830*H830,2)</f>
        <v>0</v>
      </c>
      <c r="J830" s="34"/>
    </row>
    <row r="831" spans="1:10" ht="25.5" x14ac:dyDescent="0.25">
      <c r="A831" s="51" t="s">
        <v>1631</v>
      </c>
      <c r="B831" s="28">
        <v>5000007499</v>
      </c>
      <c r="C831" s="42" t="s">
        <v>1632</v>
      </c>
      <c r="D831" s="30" t="s">
        <v>29</v>
      </c>
      <c r="E831" s="31"/>
      <c r="F831" s="32">
        <v>384.28</v>
      </c>
      <c r="G831" s="33">
        <f>ROUND(E831*F831,2)</f>
        <v>0</v>
      </c>
      <c r="H831" s="33">
        <f>ROUND('[1]RESUMO DA PROPOSTA'!$C$22*F831,2)</f>
        <v>614.85</v>
      </c>
      <c r="I831" s="33">
        <f>ROUND(E831*H831,2)</f>
        <v>0</v>
      </c>
      <c r="J831" s="34"/>
    </row>
    <row r="832" spans="1:10" x14ac:dyDescent="0.25">
      <c r="A832" s="51" t="s">
        <v>1633</v>
      </c>
      <c r="B832" s="28">
        <v>5000011473</v>
      </c>
      <c r="C832" s="42" t="s">
        <v>1634</v>
      </c>
      <c r="D832" s="30" t="s">
        <v>29</v>
      </c>
      <c r="E832" s="31"/>
      <c r="F832" s="32">
        <v>293.88</v>
      </c>
      <c r="G832" s="33">
        <f t="shared" ref="G832:G833" si="66">ROUND(E832*F832,2)</f>
        <v>0</v>
      </c>
      <c r="H832" s="33">
        <f>ROUND('[1]RESUMO DA PROPOSTA'!$C$22*F832,2)</f>
        <v>470.21</v>
      </c>
      <c r="I832" s="33">
        <f t="shared" ref="I832:I833" si="67">ROUND(E832*H832,2)</f>
        <v>0</v>
      </c>
      <c r="J832" s="34"/>
    </row>
    <row r="833" spans="1:10" x14ac:dyDescent="0.25">
      <c r="A833" s="51" t="s">
        <v>1635</v>
      </c>
      <c r="B833" s="28">
        <v>5000011474</v>
      </c>
      <c r="C833" s="42" t="s">
        <v>1636</v>
      </c>
      <c r="D833" s="30" t="s">
        <v>29</v>
      </c>
      <c r="E833" s="31"/>
      <c r="F833" s="32">
        <v>264.49</v>
      </c>
      <c r="G833" s="33">
        <f t="shared" si="66"/>
        <v>0</v>
      </c>
      <c r="H833" s="33">
        <f>ROUND('[1]RESUMO DA PROPOSTA'!$C$22*F833,2)</f>
        <v>423.18</v>
      </c>
      <c r="I833" s="33">
        <f t="shared" si="67"/>
        <v>0</v>
      </c>
      <c r="J833" s="34"/>
    </row>
    <row r="834" spans="1:10" ht="15.75" x14ac:dyDescent="0.25">
      <c r="A834" s="43" t="s">
        <v>1637</v>
      </c>
      <c r="B834" s="44"/>
      <c r="C834" s="45" t="s">
        <v>1638</v>
      </c>
      <c r="D834" s="46"/>
      <c r="E834" s="47"/>
      <c r="F834" s="48" t="s">
        <v>17</v>
      </c>
      <c r="G834" s="49">
        <f>SUBTOTAL(9,G835:G840)</f>
        <v>0</v>
      </c>
      <c r="H834" s="48" t="s">
        <v>17</v>
      </c>
      <c r="I834" s="49">
        <f>SUBTOTAL(9,I835:I840)</f>
        <v>0</v>
      </c>
      <c r="J834" s="50"/>
    </row>
    <row r="835" spans="1:10" x14ac:dyDescent="0.25">
      <c r="A835" s="51" t="s">
        <v>1639</v>
      </c>
      <c r="B835" s="28">
        <v>5000011475</v>
      </c>
      <c r="C835" s="42" t="s">
        <v>1640</v>
      </c>
      <c r="D835" s="30" t="s">
        <v>29</v>
      </c>
      <c r="E835" s="31"/>
      <c r="F835" s="32">
        <v>250</v>
      </c>
      <c r="G835" s="33">
        <f t="shared" ref="G835:G840" si="68">ROUND(E835*F835,2)</f>
        <v>0</v>
      </c>
      <c r="H835" s="33">
        <f>ROUND('[1]RESUMO DA PROPOSTA'!$C$22*F835,2)</f>
        <v>400</v>
      </c>
      <c r="I835" s="33">
        <f t="shared" ref="I835:I840" si="69">ROUND(E835*H835,2)</f>
        <v>0</v>
      </c>
      <c r="J835" s="34"/>
    </row>
    <row r="836" spans="1:10" x14ac:dyDescent="0.25">
      <c r="A836" s="51" t="s">
        <v>1641</v>
      </c>
      <c r="B836" s="28">
        <v>5000007688</v>
      </c>
      <c r="C836" s="42" t="s">
        <v>1642</v>
      </c>
      <c r="D836" s="30" t="s">
        <v>29</v>
      </c>
      <c r="E836" s="31"/>
      <c r="F836" s="32">
        <v>120</v>
      </c>
      <c r="G836" s="33">
        <f t="shared" si="68"/>
        <v>0</v>
      </c>
      <c r="H836" s="33">
        <f>ROUND('[1]RESUMO DA PROPOSTA'!$C$22*F836,2)</f>
        <v>192</v>
      </c>
      <c r="I836" s="33">
        <f t="shared" si="69"/>
        <v>0</v>
      </c>
      <c r="J836" s="34"/>
    </row>
    <row r="837" spans="1:10" x14ac:dyDescent="0.25">
      <c r="A837" s="51" t="s">
        <v>1643</v>
      </c>
      <c r="B837" s="28">
        <v>5000007572</v>
      </c>
      <c r="C837" s="42" t="s">
        <v>1644</v>
      </c>
      <c r="D837" s="30" t="s">
        <v>29</v>
      </c>
      <c r="E837" s="31"/>
      <c r="F837" s="32">
        <v>220.31</v>
      </c>
      <c r="G837" s="33">
        <f t="shared" si="68"/>
        <v>0</v>
      </c>
      <c r="H837" s="33">
        <f>ROUND('[1]RESUMO DA PROPOSTA'!$C$22*F837,2)</f>
        <v>352.5</v>
      </c>
      <c r="I837" s="33">
        <f t="shared" si="69"/>
        <v>0</v>
      </c>
      <c r="J837" s="34"/>
    </row>
    <row r="838" spans="1:10" x14ac:dyDescent="0.25">
      <c r="A838" s="51" t="s">
        <v>1645</v>
      </c>
      <c r="B838" s="28">
        <v>5000007700</v>
      </c>
      <c r="C838" s="42" t="s">
        <v>1646</v>
      </c>
      <c r="D838" s="30" t="s">
        <v>29</v>
      </c>
      <c r="E838" s="31"/>
      <c r="F838" s="32">
        <v>100</v>
      </c>
      <c r="G838" s="33">
        <f t="shared" si="68"/>
        <v>0</v>
      </c>
      <c r="H838" s="33">
        <f>ROUND('[1]RESUMO DA PROPOSTA'!$C$22*F838,2)</f>
        <v>160</v>
      </c>
      <c r="I838" s="33">
        <f t="shared" si="69"/>
        <v>0</v>
      </c>
      <c r="J838" s="34"/>
    </row>
    <row r="839" spans="1:10" x14ac:dyDescent="0.25">
      <c r="A839" s="51" t="s">
        <v>1647</v>
      </c>
      <c r="B839" s="28">
        <v>5000007436</v>
      </c>
      <c r="C839" s="42" t="s">
        <v>1648</v>
      </c>
      <c r="D839" s="30" t="s">
        <v>120</v>
      </c>
      <c r="E839" s="31"/>
      <c r="F839" s="32">
        <v>10.84</v>
      </c>
      <c r="G839" s="33">
        <f t="shared" si="68"/>
        <v>0</v>
      </c>
      <c r="H839" s="33">
        <f>ROUND('[1]RESUMO DA PROPOSTA'!$C$22*F839,2)</f>
        <v>17.34</v>
      </c>
      <c r="I839" s="33">
        <f t="shared" si="69"/>
        <v>0</v>
      </c>
      <c r="J839" s="34"/>
    </row>
    <row r="840" spans="1:10" x14ac:dyDescent="0.25">
      <c r="A840" s="51" t="s">
        <v>1649</v>
      </c>
      <c r="B840" s="28">
        <v>5000007714</v>
      </c>
      <c r="C840" s="42" t="s">
        <v>1650</v>
      </c>
      <c r="D840" s="30" t="s">
        <v>29</v>
      </c>
      <c r="E840" s="31"/>
      <c r="F840" s="32">
        <v>216</v>
      </c>
      <c r="G840" s="33">
        <f t="shared" si="68"/>
        <v>0</v>
      </c>
      <c r="H840" s="33">
        <f>ROUND('[1]RESUMO DA PROPOSTA'!$C$22*F840,2)</f>
        <v>345.6</v>
      </c>
      <c r="I840" s="33">
        <f t="shared" si="69"/>
        <v>0</v>
      </c>
      <c r="J840" s="34"/>
    </row>
    <row r="841" spans="1:10" ht="15.75" x14ac:dyDescent="0.25">
      <c r="A841" s="43" t="s">
        <v>1651</v>
      </c>
      <c r="B841" s="44"/>
      <c r="C841" s="45" t="s">
        <v>1652</v>
      </c>
      <c r="D841" s="46"/>
      <c r="E841" s="47"/>
      <c r="F841" s="48" t="s">
        <v>17</v>
      </c>
      <c r="G841" s="49">
        <f>SUBTOTAL(9,G842:G846)</f>
        <v>0</v>
      </c>
      <c r="H841" s="48" t="s">
        <v>17</v>
      </c>
      <c r="I841" s="49">
        <f>SUBTOTAL(9,I842:I846)</f>
        <v>0</v>
      </c>
      <c r="J841" s="50"/>
    </row>
    <row r="842" spans="1:10" x14ac:dyDescent="0.25">
      <c r="A842" s="51" t="s">
        <v>1653</v>
      </c>
      <c r="B842" s="28">
        <v>5000007719</v>
      </c>
      <c r="C842" s="42" t="s">
        <v>1654</v>
      </c>
      <c r="D842" s="30" t="s">
        <v>29</v>
      </c>
      <c r="E842" s="31"/>
      <c r="F842" s="32">
        <v>150</v>
      </c>
      <c r="G842" s="33">
        <f>ROUND(E842*F842,2)</f>
        <v>0</v>
      </c>
      <c r="H842" s="33">
        <f>ROUND('[1]RESUMO DA PROPOSTA'!$C$22*F842,2)</f>
        <v>240</v>
      </c>
      <c r="I842" s="33">
        <f>ROUND(E842*H842,2)</f>
        <v>0</v>
      </c>
      <c r="J842" s="34"/>
    </row>
    <row r="843" spans="1:10" x14ac:dyDescent="0.25">
      <c r="A843" s="51" t="s">
        <v>1655</v>
      </c>
      <c r="B843" s="28">
        <v>5000006732</v>
      </c>
      <c r="C843" s="42" t="s">
        <v>1656</v>
      </c>
      <c r="D843" s="30" t="s">
        <v>29</v>
      </c>
      <c r="E843" s="31"/>
      <c r="F843" s="32">
        <v>53.63</v>
      </c>
      <c r="G843" s="33">
        <f>ROUND(E843*F843,2)</f>
        <v>0</v>
      </c>
      <c r="H843" s="33">
        <f>ROUND('[1]RESUMO DA PROPOSTA'!$C$22*F843,2)</f>
        <v>85.81</v>
      </c>
      <c r="I843" s="33">
        <f>ROUND(E843*H843,2)</f>
        <v>0</v>
      </c>
      <c r="J843" s="34"/>
    </row>
    <row r="844" spans="1:10" x14ac:dyDescent="0.25">
      <c r="A844" s="51" t="s">
        <v>1657</v>
      </c>
      <c r="B844" s="28">
        <v>5000007458</v>
      </c>
      <c r="C844" s="42" t="s">
        <v>1658</v>
      </c>
      <c r="D844" s="30" t="s">
        <v>29</v>
      </c>
      <c r="E844" s="31"/>
      <c r="F844" s="32">
        <v>235.49</v>
      </c>
      <c r="G844" s="33">
        <f>ROUND(E844*F844,2)</f>
        <v>0</v>
      </c>
      <c r="H844" s="33">
        <f>ROUND('[1]RESUMO DA PROPOSTA'!$C$22*F844,2)</f>
        <v>376.78</v>
      </c>
      <c r="I844" s="33">
        <f>ROUND(E844*H844,2)</f>
        <v>0</v>
      </c>
      <c r="J844" s="34"/>
    </row>
    <row r="845" spans="1:10" x14ac:dyDescent="0.25">
      <c r="A845" s="51" t="s">
        <v>1659</v>
      </c>
      <c r="B845" s="28">
        <v>5000007459</v>
      </c>
      <c r="C845" s="42" t="s">
        <v>1660</v>
      </c>
      <c r="D845" s="30" t="s">
        <v>29</v>
      </c>
      <c r="E845" s="31"/>
      <c r="F845" s="32">
        <v>403.41</v>
      </c>
      <c r="G845" s="33">
        <f>ROUND(E845*F845,2)</f>
        <v>0</v>
      </c>
      <c r="H845" s="33">
        <f>ROUND('[1]RESUMO DA PROPOSTA'!$C$22*F845,2)</f>
        <v>645.46</v>
      </c>
      <c r="I845" s="33">
        <f>ROUND(E845*H845,2)</f>
        <v>0</v>
      </c>
      <c r="J845" s="34"/>
    </row>
    <row r="846" spans="1:10" x14ac:dyDescent="0.25">
      <c r="A846" s="51" t="s">
        <v>1661</v>
      </c>
      <c r="B846" s="28">
        <v>5000007706</v>
      </c>
      <c r="C846" s="42" t="s">
        <v>1662</v>
      </c>
      <c r="D846" s="30" t="s">
        <v>29</v>
      </c>
      <c r="E846" s="31"/>
      <c r="F846" s="32">
        <v>153.9</v>
      </c>
      <c r="G846" s="33">
        <f>ROUND(E846*F846,2)</f>
        <v>0</v>
      </c>
      <c r="H846" s="33">
        <f>ROUND('[1]RESUMO DA PROPOSTA'!$C$22*F846,2)</f>
        <v>246.24</v>
      </c>
      <c r="I846" s="33">
        <f>ROUND(E846*H846,2)</f>
        <v>0</v>
      </c>
      <c r="J846" s="34"/>
    </row>
    <row r="847" spans="1:10" ht="15.75" x14ac:dyDescent="0.25">
      <c r="A847" s="43" t="s">
        <v>1663</v>
      </c>
      <c r="B847" s="44"/>
      <c r="C847" s="45" t="s">
        <v>1664</v>
      </c>
      <c r="D847" s="46"/>
      <c r="E847" s="47"/>
      <c r="F847" s="48" t="s">
        <v>17</v>
      </c>
      <c r="G847" s="49">
        <f>SUBTOTAL(9,G848:G849)</f>
        <v>0</v>
      </c>
      <c r="H847" s="48" t="s">
        <v>17</v>
      </c>
      <c r="I847" s="49">
        <f>SUBTOTAL(9,I848:I849)</f>
        <v>0</v>
      </c>
      <c r="J847" s="50"/>
    </row>
    <row r="848" spans="1:10" x14ac:dyDescent="0.25">
      <c r="A848" s="51" t="s">
        <v>1665</v>
      </c>
      <c r="B848" s="28">
        <v>5000008979</v>
      </c>
      <c r="C848" s="42" t="s">
        <v>1666</v>
      </c>
      <c r="D848" s="30" t="s">
        <v>29</v>
      </c>
      <c r="E848" s="31"/>
      <c r="F848" s="32">
        <v>30000</v>
      </c>
      <c r="G848" s="33">
        <f>ROUND(E848*F848,2)</f>
        <v>0</v>
      </c>
      <c r="H848" s="33">
        <f>ROUND('[1]RESUMO DA PROPOSTA'!$C$22*F848,2)</f>
        <v>48000</v>
      </c>
      <c r="I848" s="33">
        <f>ROUND(E848*H848,2)</f>
        <v>0</v>
      </c>
      <c r="J848" s="34"/>
    </row>
    <row r="849" spans="1:10" x14ac:dyDescent="0.25">
      <c r="A849" s="51" t="s">
        <v>1667</v>
      </c>
      <c r="B849" s="28">
        <v>5000009003</v>
      </c>
      <c r="C849" s="42" t="s">
        <v>1668</v>
      </c>
      <c r="D849" s="30" t="s">
        <v>29</v>
      </c>
      <c r="E849" s="31"/>
      <c r="F849" s="32">
        <v>42320.5</v>
      </c>
      <c r="G849" s="33">
        <f>ROUND(E849*F849,2)</f>
        <v>0</v>
      </c>
      <c r="H849" s="33">
        <f>ROUND('[1]RESUMO DA PROPOSTA'!$C$22*F849,2)</f>
        <v>67712.800000000003</v>
      </c>
      <c r="I849" s="33">
        <f>ROUND(E849*H849,2)</f>
        <v>0</v>
      </c>
      <c r="J849" s="34"/>
    </row>
    <row r="850" spans="1:10" ht="15.75" x14ac:dyDescent="0.25">
      <c r="A850" s="43" t="s">
        <v>1669</v>
      </c>
      <c r="B850" s="44"/>
      <c r="C850" s="45" t="s">
        <v>1670</v>
      </c>
      <c r="D850" s="46"/>
      <c r="E850" s="47"/>
      <c r="F850" s="48" t="s">
        <v>17</v>
      </c>
      <c r="G850" s="49">
        <f>SUBTOTAL(9,G851:G859)</f>
        <v>0</v>
      </c>
      <c r="H850" s="48" t="s">
        <v>17</v>
      </c>
      <c r="I850" s="49">
        <f>SUBTOTAL(9,I851:I859)</f>
        <v>0</v>
      </c>
      <c r="J850" s="50"/>
    </row>
    <row r="851" spans="1:10" x14ac:dyDescent="0.25">
      <c r="A851" s="51" t="s">
        <v>1671</v>
      </c>
      <c r="B851" s="28">
        <v>5000007540</v>
      </c>
      <c r="C851" s="42" t="s">
        <v>1672</v>
      </c>
      <c r="D851" s="30" t="s">
        <v>463</v>
      </c>
      <c r="E851" s="31"/>
      <c r="F851" s="32">
        <v>5.0599999999999996</v>
      </c>
      <c r="G851" s="33">
        <f t="shared" ref="G851:G859" si="70">ROUND(E851*F851,2)</f>
        <v>0</v>
      </c>
      <c r="H851" s="33">
        <f>ROUND('[1]RESUMO DA PROPOSTA'!$C$22*F851,2)</f>
        <v>8.1</v>
      </c>
      <c r="I851" s="33">
        <f t="shared" ref="I851:I859" si="71">ROUND(E851*H851,2)</f>
        <v>0</v>
      </c>
      <c r="J851" s="34"/>
    </row>
    <row r="852" spans="1:10" ht="25.5" x14ac:dyDescent="0.25">
      <c r="A852" s="51" t="s">
        <v>1673</v>
      </c>
      <c r="B852" s="28">
        <v>5000007701</v>
      </c>
      <c r="C852" s="42" t="s">
        <v>1674</v>
      </c>
      <c r="D852" s="30" t="s">
        <v>29</v>
      </c>
      <c r="E852" s="31"/>
      <c r="F852" s="32">
        <v>1764.37</v>
      </c>
      <c r="G852" s="33">
        <f t="shared" si="70"/>
        <v>0</v>
      </c>
      <c r="H852" s="33">
        <f>ROUND('[1]RESUMO DA PROPOSTA'!$C$22*F852,2)</f>
        <v>2822.99</v>
      </c>
      <c r="I852" s="33">
        <f t="shared" si="71"/>
        <v>0</v>
      </c>
      <c r="J852" s="34"/>
    </row>
    <row r="853" spans="1:10" ht="25.5" x14ac:dyDescent="0.25">
      <c r="A853" s="51" t="s">
        <v>1675</v>
      </c>
      <c r="B853" s="28">
        <v>5000007702</v>
      </c>
      <c r="C853" s="42" t="s">
        <v>1676</v>
      </c>
      <c r="D853" s="30" t="s">
        <v>29</v>
      </c>
      <c r="E853" s="31"/>
      <c r="F853" s="32">
        <v>3915.3999999999996</v>
      </c>
      <c r="G853" s="33">
        <f t="shared" si="70"/>
        <v>0</v>
      </c>
      <c r="H853" s="33">
        <f>ROUND('[1]RESUMO DA PROPOSTA'!$C$22*F853,2)</f>
        <v>6264.64</v>
      </c>
      <c r="I853" s="33">
        <f t="shared" si="71"/>
        <v>0</v>
      </c>
      <c r="J853" s="34"/>
    </row>
    <row r="854" spans="1:10" ht="25.5" x14ac:dyDescent="0.25">
      <c r="A854" s="51" t="s">
        <v>1677</v>
      </c>
      <c r="B854" s="28">
        <v>5000007703</v>
      </c>
      <c r="C854" s="42" t="s">
        <v>1678</v>
      </c>
      <c r="D854" s="30" t="s">
        <v>29</v>
      </c>
      <c r="E854" s="31"/>
      <c r="F854" s="32">
        <v>9957.2800000000007</v>
      </c>
      <c r="G854" s="33">
        <f t="shared" si="70"/>
        <v>0</v>
      </c>
      <c r="H854" s="33">
        <f>ROUND('[1]RESUMO DA PROPOSTA'!$C$22*F854,2)</f>
        <v>15931.65</v>
      </c>
      <c r="I854" s="33">
        <f t="shared" si="71"/>
        <v>0</v>
      </c>
      <c r="J854" s="34"/>
    </row>
    <row r="855" spans="1:10" x14ac:dyDescent="0.25">
      <c r="A855" s="51" t="s">
        <v>1679</v>
      </c>
      <c r="B855" s="28">
        <v>5000007437</v>
      </c>
      <c r="C855" s="42" t="s">
        <v>1680</v>
      </c>
      <c r="D855" s="30" t="s">
        <v>29</v>
      </c>
      <c r="E855" s="31"/>
      <c r="F855" s="32">
        <v>14494.8</v>
      </c>
      <c r="G855" s="33">
        <f t="shared" si="70"/>
        <v>0</v>
      </c>
      <c r="H855" s="33">
        <f>ROUND('[1]RESUMO DA PROPOSTA'!$C$22*F855,2)</f>
        <v>23191.68</v>
      </c>
      <c r="I855" s="33">
        <f t="shared" si="71"/>
        <v>0</v>
      </c>
      <c r="J855" s="34"/>
    </row>
    <row r="856" spans="1:10" x14ac:dyDescent="0.25">
      <c r="A856" s="51" t="s">
        <v>1681</v>
      </c>
      <c r="B856" s="28">
        <v>5000006723</v>
      </c>
      <c r="C856" s="42" t="s">
        <v>1682</v>
      </c>
      <c r="D856" s="30" t="s">
        <v>29</v>
      </c>
      <c r="E856" s="31"/>
      <c r="F856" s="32">
        <v>16199.5</v>
      </c>
      <c r="G856" s="33">
        <f t="shared" si="70"/>
        <v>0</v>
      </c>
      <c r="H856" s="33">
        <f>ROUND('[1]RESUMO DA PROPOSTA'!$C$22*F856,2)</f>
        <v>25919.200000000001</v>
      </c>
      <c r="I856" s="33">
        <f t="shared" si="71"/>
        <v>0</v>
      </c>
      <c r="J856" s="34"/>
    </row>
    <row r="857" spans="1:10" x14ac:dyDescent="0.25">
      <c r="A857" s="51" t="s">
        <v>1683</v>
      </c>
      <c r="B857" s="28">
        <v>5000006722</v>
      </c>
      <c r="C857" s="42" t="s">
        <v>1684</v>
      </c>
      <c r="D857" s="30" t="s">
        <v>29</v>
      </c>
      <c r="E857" s="31"/>
      <c r="F857" s="32">
        <v>14380.83</v>
      </c>
      <c r="G857" s="33">
        <f t="shared" si="70"/>
        <v>0</v>
      </c>
      <c r="H857" s="33">
        <f>ROUND('[1]RESUMO DA PROPOSTA'!$C$22*F857,2)</f>
        <v>23009.33</v>
      </c>
      <c r="I857" s="33">
        <f t="shared" si="71"/>
        <v>0</v>
      </c>
      <c r="J857" s="34"/>
    </row>
    <row r="858" spans="1:10" x14ac:dyDescent="0.25">
      <c r="A858" s="51" t="s">
        <v>1685</v>
      </c>
      <c r="B858" s="28">
        <v>5000011476</v>
      </c>
      <c r="C858" s="42" t="s">
        <v>1686</v>
      </c>
      <c r="D858" s="30" t="s">
        <v>29</v>
      </c>
      <c r="E858" s="31"/>
      <c r="F858" s="32">
        <v>50000</v>
      </c>
      <c r="G858" s="33">
        <f t="shared" si="70"/>
        <v>0</v>
      </c>
      <c r="H858" s="33">
        <f>ROUND('[1]RESUMO DA PROPOSTA'!$C$22*F858,2)</f>
        <v>80000</v>
      </c>
      <c r="I858" s="33">
        <f t="shared" si="71"/>
        <v>0</v>
      </c>
      <c r="J858" s="34"/>
    </row>
    <row r="859" spans="1:10" x14ac:dyDescent="0.25">
      <c r="A859" s="51" t="s">
        <v>1687</v>
      </c>
      <c r="B859" s="28">
        <v>5000011477</v>
      </c>
      <c r="C859" s="42" t="s">
        <v>1688</v>
      </c>
      <c r="D859" s="30" t="s">
        <v>29</v>
      </c>
      <c r="E859" s="31"/>
      <c r="F859" s="32">
        <v>10000</v>
      </c>
      <c r="G859" s="33">
        <f t="shared" si="70"/>
        <v>0</v>
      </c>
      <c r="H859" s="33">
        <f>ROUND('[1]RESUMO DA PROPOSTA'!$C$22*F859,2)</f>
        <v>16000</v>
      </c>
      <c r="I859" s="33">
        <f t="shared" si="71"/>
        <v>0</v>
      </c>
      <c r="J859" s="34"/>
    </row>
    <row r="860" spans="1:10" ht="15.75" x14ac:dyDescent="0.25">
      <c r="A860" s="43" t="s">
        <v>1689</v>
      </c>
      <c r="B860" s="44"/>
      <c r="C860" s="45" t="s">
        <v>1690</v>
      </c>
      <c r="D860" s="46"/>
      <c r="E860" s="47"/>
      <c r="F860" s="48" t="s">
        <v>17</v>
      </c>
      <c r="G860" s="49">
        <f>SUBTOTAL(9,G861:G867)</f>
        <v>0</v>
      </c>
      <c r="H860" s="48" t="s">
        <v>17</v>
      </c>
      <c r="I860" s="49">
        <f>SUBTOTAL(9,I861:I867)</f>
        <v>0</v>
      </c>
      <c r="J860" s="50"/>
    </row>
    <row r="861" spans="1:10" x14ac:dyDescent="0.25">
      <c r="A861" s="51" t="s">
        <v>1691</v>
      </c>
      <c r="B861" s="28">
        <v>5000007433</v>
      </c>
      <c r="C861" s="42" t="s">
        <v>1692</v>
      </c>
      <c r="D861" s="30" t="s">
        <v>20</v>
      </c>
      <c r="E861" s="31"/>
      <c r="F861" s="32">
        <v>10000</v>
      </c>
      <c r="G861" s="33">
        <f t="shared" ref="G861:G867" si="72">ROUND(E861*F861,2)</f>
        <v>0</v>
      </c>
      <c r="H861" s="33">
        <f>ROUND('[1]RESUMO DA PROPOSTA'!$C$22*F861,2)</f>
        <v>16000</v>
      </c>
      <c r="I861" s="33">
        <f t="shared" ref="I861:I867" si="73">ROUND(E861*H861,2)</f>
        <v>0</v>
      </c>
      <c r="J861" s="34"/>
    </row>
    <row r="862" spans="1:10" x14ac:dyDescent="0.25">
      <c r="A862" s="51" t="s">
        <v>1693</v>
      </c>
      <c r="B862" s="28">
        <v>5000007489</v>
      </c>
      <c r="C862" s="42" t="s">
        <v>1694</v>
      </c>
      <c r="D862" s="30" t="s">
        <v>20</v>
      </c>
      <c r="E862" s="31"/>
      <c r="F862" s="32">
        <v>15000</v>
      </c>
      <c r="G862" s="33">
        <f t="shared" si="72"/>
        <v>0</v>
      </c>
      <c r="H862" s="33">
        <f>ROUND('[1]RESUMO DA PROPOSTA'!$C$22*F862,2)</f>
        <v>24000</v>
      </c>
      <c r="I862" s="33">
        <f t="shared" si="73"/>
        <v>0</v>
      </c>
      <c r="J862" s="34"/>
    </row>
    <row r="863" spans="1:10" x14ac:dyDescent="0.25">
      <c r="A863" s="51" t="s">
        <v>1695</v>
      </c>
      <c r="B863" s="28">
        <v>5000011478</v>
      </c>
      <c r="C863" s="42" t="s">
        <v>1696</v>
      </c>
      <c r="D863" s="30" t="s">
        <v>20</v>
      </c>
      <c r="E863" s="31"/>
      <c r="F863" s="32">
        <v>3060.96</v>
      </c>
      <c r="G863" s="33">
        <f>ROUND(E863*F863,2)</f>
        <v>0</v>
      </c>
      <c r="H863" s="33">
        <f>ROUND('[1]RESUMO DA PROPOSTA'!$C$22*F863,2)</f>
        <v>4897.54</v>
      </c>
      <c r="I863" s="33">
        <f t="shared" si="73"/>
        <v>0</v>
      </c>
      <c r="J863" s="34"/>
    </row>
    <row r="864" spans="1:10" x14ac:dyDescent="0.25">
      <c r="A864" s="51" t="s">
        <v>1697</v>
      </c>
      <c r="B864" s="28">
        <v>5000008982</v>
      </c>
      <c r="C864" s="42" t="s">
        <v>1698</v>
      </c>
      <c r="D864" s="30" t="s">
        <v>20</v>
      </c>
      <c r="E864" s="31"/>
      <c r="F864" s="32">
        <v>20000</v>
      </c>
      <c r="G864" s="33">
        <f t="shared" si="72"/>
        <v>0</v>
      </c>
      <c r="H864" s="33">
        <f>ROUND('[1]RESUMO DA PROPOSTA'!$C$22*F864,2)</f>
        <v>32000</v>
      </c>
      <c r="I864" s="33">
        <f t="shared" si="73"/>
        <v>0</v>
      </c>
      <c r="J864" s="34"/>
    </row>
    <row r="865" spans="1:10" x14ac:dyDescent="0.25">
      <c r="A865" s="51" t="s">
        <v>1699</v>
      </c>
      <c r="B865" s="28">
        <v>5000008999</v>
      </c>
      <c r="C865" s="42" t="s">
        <v>1700</v>
      </c>
      <c r="D865" s="30" t="s">
        <v>20</v>
      </c>
      <c r="E865" s="31"/>
      <c r="F865" s="32">
        <v>26000</v>
      </c>
      <c r="G865" s="33">
        <f t="shared" si="72"/>
        <v>0</v>
      </c>
      <c r="H865" s="33">
        <f>ROUND('[1]RESUMO DA PROPOSTA'!$C$22*F865,2)</f>
        <v>41600</v>
      </c>
      <c r="I865" s="33">
        <f t="shared" si="73"/>
        <v>0</v>
      </c>
      <c r="J865" s="34"/>
    </row>
    <row r="866" spans="1:10" x14ac:dyDescent="0.25">
      <c r="A866" s="51" t="s">
        <v>1701</v>
      </c>
      <c r="B866" s="28">
        <v>5000009000</v>
      </c>
      <c r="C866" s="42" t="s">
        <v>1702</v>
      </c>
      <c r="D866" s="30" t="s">
        <v>20</v>
      </c>
      <c r="E866" s="31"/>
      <c r="F866" s="32">
        <v>15000</v>
      </c>
      <c r="G866" s="33">
        <f t="shared" si="72"/>
        <v>0</v>
      </c>
      <c r="H866" s="33">
        <f>ROUND('[1]RESUMO DA PROPOSTA'!$C$22*F866,2)</f>
        <v>24000</v>
      </c>
      <c r="I866" s="33">
        <f t="shared" si="73"/>
        <v>0</v>
      </c>
      <c r="J866" s="34"/>
    </row>
    <row r="867" spans="1:10" x14ac:dyDescent="0.25">
      <c r="A867" s="51" t="s">
        <v>1703</v>
      </c>
      <c r="B867" s="28">
        <v>3000021668</v>
      </c>
      <c r="C867" s="42" t="s">
        <v>1704</v>
      </c>
      <c r="D867" s="30" t="s">
        <v>463</v>
      </c>
      <c r="E867" s="31"/>
      <c r="F867" s="32">
        <v>2.5</v>
      </c>
      <c r="G867" s="33">
        <f t="shared" si="72"/>
        <v>0</v>
      </c>
      <c r="H867" s="33">
        <f>ROUND('[1]RESUMO DA PROPOSTA'!$C$22*F867,2)</f>
        <v>4</v>
      </c>
      <c r="I867" s="33">
        <f t="shared" si="73"/>
        <v>0</v>
      </c>
      <c r="J867" s="34"/>
    </row>
    <row r="868" spans="1:10" ht="15.75" x14ac:dyDescent="0.25">
      <c r="A868" s="43" t="s">
        <v>1705</v>
      </c>
      <c r="B868" s="44"/>
      <c r="C868" s="45" t="s">
        <v>1706</v>
      </c>
      <c r="D868" s="46"/>
      <c r="E868" s="47"/>
      <c r="F868" s="48" t="s">
        <v>17</v>
      </c>
      <c r="G868" s="49">
        <f>SUBTOTAL(9,G869:G877)</f>
        <v>0</v>
      </c>
      <c r="H868" s="48" t="s">
        <v>17</v>
      </c>
      <c r="I868" s="49">
        <f>SUBTOTAL(9,I869:I877)</f>
        <v>0</v>
      </c>
      <c r="J868" s="50"/>
    </row>
    <row r="869" spans="1:10" x14ac:dyDescent="0.25">
      <c r="A869" s="51" t="s">
        <v>1707</v>
      </c>
      <c r="B869" s="28">
        <v>5000007464</v>
      </c>
      <c r="C869" s="42" t="s">
        <v>1708</v>
      </c>
      <c r="D869" s="30" t="s">
        <v>29</v>
      </c>
      <c r="E869" s="31"/>
      <c r="F869" s="32">
        <v>10000</v>
      </c>
      <c r="G869" s="33">
        <f t="shared" ref="G869:G877" si="74">ROUND(E869*F869,2)</f>
        <v>0</v>
      </c>
      <c r="H869" s="33">
        <f>ROUND('[1]RESUMO DA PROPOSTA'!$C$22*F869,2)</f>
        <v>16000</v>
      </c>
      <c r="I869" s="33">
        <f t="shared" ref="I869:I877" si="75">ROUND(E869*H869,2)</f>
        <v>0</v>
      </c>
      <c r="J869" s="34"/>
    </row>
    <row r="870" spans="1:10" x14ac:dyDescent="0.25">
      <c r="A870" s="51" t="s">
        <v>1709</v>
      </c>
      <c r="B870" s="28">
        <v>5000007461</v>
      </c>
      <c r="C870" s="42" t="s">
        <v>1710</v>
      </c>
      <c r="D870" s="30" t="s">
        <v>20</v>
      </c>
      <c r="E870" s="31"/>
      <c r="F870" s="32">
        <v>20000</v>
      </c>
      <c r="G870" s="33">
        <f t="shared" si="74"/>
        <v>0</v>
      </c>
      <c r="H870" s="33">
        <f>ROUND('[1]RESUMO DA PROPOSTA'!$C$22*F870,2)</f>
        <v>32000</v>
      </c>
      <c r="I870" s="33">
        <f t="shared" si="75"/>
        <v>0</v>
      </c>
      <c r="J870" s="34"/>
    </row>
    <row r="871" spans="1:10" x14ac:dyDescent="0.25">
      <c r="A871" s="51" t="s">
        <v>1711</v>
      </c>
      <c r="B871" s="28">
        <v>5000007463</v>
      </c>
      <c r="C871" s="42" t="s">
        <v>1712</v>
      </c>
      <c r="D871" s="30" t="s">
        <v>20</v>
      </c>
      <c r="E871" s="31"/>
      <c r="F871" s="32">
        <v>10000</v>
      </c>
      <c r="G871" s="33">
        <f t="shared" si="74"/>
        <v>0</v>
      </c>
      <c r="H871" s="33">
        <f>ROUND('[1]RESUMO DA PROPOSTA'!$C$22*F871,2)</f>
        <v>16000</v>
      </c>
      <c r="I871" s="33">
        <f t="shared" si="75"/>
        <v>0</v>
      </c>
      <c r="J871" s="34"/>
    </row>
    <row r="872" spans="1:10" x14ac:dyDescent="0.25">
      <c r="A872" s="51" t="s">
        <v>1713</v>
      </c>
      <c r="B872" s="28">
        <v>5000007492</v>
      </c>
      <c r="C872" s="42" t="s">
        <v>1714</v>
      </c>
      <c r="D872" s="30" t="s">
        <v>29</v>
      </c>
      <c r="E872" s="31"/>
      <c r="F872" s="32">
        <v>20000</v>
      </c>
      <c r="G872" s="33">
        <f t="shared" si="74"/>
        <v>0</v>
      </c>
      <c r="H872" s="33">
        <f>ROUND('[1]RESUMO DA PROPOSTA'!$C$22*F872,2)</f>
        <v>32000</v>
      </c>
      <c r="I872" s="33">
        <f t="shared" si="75"/>
        <v>0</v>
      </c>
      <c r="J872" s="34"/>
    </row>
    <row r="873" spans="1:10" x14ac:dyDescent="0.25">
      <c r="A873" s="51" t="s">
        <v>1715</v>
      </c>
      <c r="B873" s="28">
        <v>5000007491</v>
      </c>
      <c r="C873" s="42" t="s">
        <v>1716</v>
      </c>
      <c r="D873" s="30" t="s">
        <v>29</v>
      </c>
      <c r="E873" s="31"/>
      <c r="F873" s="32">
        <v>15000</v>
      </c>
      <c r="G873" s="33">
        <f t="shared" si="74"/>
        <v>0</v>
      </c>
      <c r="H873" s="33">
        <f>ROUND('[1]RESUMO DA PROPOSTA'!$C$22*F873,2)</f>
        <v>24000</v>
      </c>
      <c r="I873" s="33">
        <f t="shared" si="75"/>
        <v>0</v>
      </c>
      <c r="J873" s="34"/>
    </row>
    <row r="874" spans="1:10" x14ac:dyDescent="0.25">
      <c r="A874" s="51" t="s">
        <v>1717</v>
      </c>
      <c r="B874" s="28">
        <v>5000006733</v>
      </c>
      <c r="C874" s="42" t="s">
        <v>1718</v>
      </c>
      <c r="D874" s="30" t="s">
        <v>120</v>
      </c>
      <c r="E874" s="31"/>
      <c r="F874" s="32">
        <v>50</v>
      </c>
      <c r="G874" s="33">
        <f t="shared" si="74"/>
        <v>0</v>
      </c>
      <c r="H874" s="33">
        <f>ROUND('[1]RESUMO DA PROPOSTA'!$C$22*F874,2)</f>
        <v>80</v>
      </c>
      <c r="I874" s="33">
        <f t="shared" si="75"/>
        <v>0</v>
      </c>
      <c r="J874" s="34"/>
    </row>
    <row r="875" spans="1:10" x14ac:dyDescent="0.25">
      <c r="A875" s="51" t="s">
        <v>1719</v>
      </c>
      <c r="B875" s="28">
        <v>5000007771</v>
      </c>
      <c r="C875" s="42" t="s">
        <v>1720</v>
      </c>
      <c r="D875" s="30" t="s">
        <v>29</v>
      </c>
      <c r="E875" s="31"/>
      <c r="F875" s="32">
        <v>5000</v>
      </c>
      <c r="G875" s="33">
        <f t="shared" si="74"/>
        <v>0</v>
      </c>
      <c r="H875" s="33">
        <f>ROUND('[1]RESUMO DA PROPOSTA'!$C$22*F875,2)</f>
        <v>8000</v>
      </c>
      <c r="I875" s="33">
        <f t="shared" si="75"/>
        <v>0</v>
      </c>
      <c r="J875" s="34"/>
    </row>
    <row r="876" spans="1:10" x14ac:dyDescent="0.25">
      <c r="A876" s="51" t="s">
        <v>1721</v>
      </c>
      <c r="B876" s="28">
        <v>5000007772</v>
      </c>
      <c r="C876" s="42" t="s">
        <v>1722</v>
      </c>
      <c r="D876" s="30" t="s">
        <v>29</v>
      </c>
      <c r="E876" s="31"/>
      <c r="F876" s="32">
        <v>20000</v>
      </c>
      <c r="G876" s="33">
        <f t="shared" si="74"/>
        <v>0</v>
      </c>
      <c r="H876" s="33">
        <f>ROUND('[1]RESUMO DA PROPOSTA'!$C$22*F876,2)</f>
        <v>32000</v>
      </c>
      <c r="I876" s="33">
        <f t="shared" si="75"/>
        <v>0</v>
      </c>
      <c r="J876" s="34"/>
    </row>
    <row r="877" spans="1:10" x14ac:dyDescent="0.25">
      <c r="A877" s="51" t="s">
        <v>1723</v>
      </c>
      <c r="B877" s="28">
        <v>5000007773</v>
      </c>
      <c r="C877" s="42" t="s">
        <v>1724</v>
      </c>
      <c r="D877" s="30" t="s">
        <v>29</v>
      </c>
      <c r="E877" s="31"/>
      <c r="F877" s="32">
        <v>10000</v>
      </c>
      <c r="G877" s="33">
        <f t="shared" si="74"/>
        <v>0</v>
      </c>
      <c r="H877" s="33">
        <f>ROUND('[1]RESUMO DA PROPOSTA'!$C$22*F877,2)</f>
        <v>16000</v>
      </c>
      <c r="I877" s="33">
        <f t="shared" si="75"/>
        <v>0</v>
      </c>
      <c r="J877" s="34"/>
    </row>
    <row r="878" spans="1:10" ht="15.75" x14ac:dyDescent="0.25">
      <c r="A878" s="18" t="s">
        <v>1725</v>
      </c>
      <c r="B878" s="19"/>
      <c r="C878" s="20" t="s">
        <v>1726</v>
      </c>
      <c r="D878" s="21"/>
      <c r="E878" s="40"/>
      <c r="F878" s="23" t="s">
        <v>17</v>
      </c>
      <c r="G878" s="24">
        <f>SUBTOTAL(9,G879:G890)</f>
        <v>0</v>
      </c>
      <c r="H878" s="25" t="s">
        <v>17</v>
      </c>
      <c r="I878" s="24">
        <f>SUBTOTAL(9,I879:I890)</f>
        <v>0</v>
      </c>
      <c r="J878" s="26"/>
    </row>
    <row r="879" spans="1:10" x14ac:dyDescent="0.25">
      <c r="A879" s="51" t="s">
        <v>1727</v>
      </c>
      <c r="B879" s="28">
        <v>5000007490</v>
      </c>
      <c r="C879" s="42" t="s">
        <v>1728</v>
      </c>
      <c r="D879" s="30" t="s">
        <v>20</v>
      </c>
      <c r="E879" s="31"/>
      <c r="F879" s="32">
        <v>4533.58</v>
      </c>
      <c r="G879" s="33">
        <f t="shared" ref="G879:G890" si="76">ROUND(E879*F879,2)</f>
        <v>0</v>
      </c>
      <c r="H879" s="33">
        <f>ROUND('[1]RESUMO DA PROPOSTA'!$C$23*F879,2)</f>
        <v>7253.73</v>
      </c>
      <c r="I879" s="33">
        <f t="shared" ref="I879:I890" si="77">ROUND(E879*H879,2)</f>
        <v>0</v>
      </c>
      <c r="J879" s="34"/>
    </row>
    <row r="880" spans="1:10" x14ac:dyDescent="0.25">
      <c r="A880" s="51" t="s">
        <v>1729</v>
      </c>
      <c r="B880" s="28">
        <v>5000007497</v>
      </c>
      <c r="C880" s="42" t="s">
        <v>1730</v>
      </c>
      <c r="D880" s="30" t="s">
        <v>20</v>
      </c>
      <c r="E880" s="31"/>
      <c r="F880" s="32">
        <v>1836.58</v>
      </c>
      <c r="G880" s="33">
        <f t="shared" si="76"/>
        <v>0</v>
      </c>
      <c r="H880" s="33">
        <f>ROUND('[1]RESUMO DA PROPOSTA'!$C$23*F880,2)</f>
        <v>2938.53</v>
      </c>
      <c r="I880" s="33">
        <f t="shared" si="77"/>
        <v>0</v>
      </c>
      <c r="J880" s="34"/>
    </row>
    <row r="881" spans="1:10" x14ac:dyDescent="0.25">
      <c r="A881" s="51" t="s">
        <v>1731</v>
      </c>
      <c r="B881" s="28">
        <v>5000011479</v>
      </c>
      <c r="C881" s="42" t="s">
        <v>1732</v>
      </c>
      <c r="D881" s="30" t="s">
        <v>463</v>
      </c>
      <c r="E881" s="31"/>
      <c r="F881" s="32">
        <v>4.3</v>
      </c>
      <c r="G881" s="33">
        <f t="shared" si="76"/>
        <v>0</v>
      </c>
      <c r="H881" s="33">
        <f>ROUND('[1]RESUMO DA PROPOSTA'!$C$23*F881,2)</f>
        <v>6.88</v>
      </c>
      <c r="I881" s="33">
        <f t="shared" si="77"/>
        <v>0</v>
      </c>
      <c r="J881" s="34"/>
    </row>
    <row r="882" spans="1:10" x14ac:dyDescent="0.25">
      <c r="A882" s="51" t="s">
        <v>1733</v>
      </c>
      <c r="B882" s="28">
        <v>5000007438</v>
      </c>
      <c r="C882" s="42" t="s">
        <v>1734</v>
      </c>
      <c r="D882" s="30" t="s">
        <v>29</v>
      </c>
      <c r="E882" s="31"/>
      <c r="F882" s="33">
        <v>1303.2750000000001</v>
      </c>
      <c r="G882" s="33">
        <f t="shared" si="76"/>
        <v>0</v>
      </c>
      <c r="H882" s="34">
        <f>ROUND('[1]RESUMO DA PROPOSTA'!$C$23*F882,2)</f>
        <v>2085.2399999999998</v>
      </c>
      <c r="I882" s="100">
        <f t="shared" si="77"/>
        <v>0</v>
      </c>
      <c r="J882" s="51"/>
    </row>
    <row r="883" spans="1:10" x14ac:dyDescent="0.25">
      <c r="A883" s="51" t="s">
        <v>1735</v>
      </c>
      <c r="B883" s="28">
        <v>5000007439</v>
      </c>
      <c r="C883" s="42" t="s">
        <v>1736</v>
      </c>
      <c r="D883" s="30" t="s">
        <v>29</v>
      </c>
      <c r="E883" s="31"/>
      <c r="F883" s="32">
        <v>2705.76</v>
      </c>
      <c r="G883" s="33">
        <f t="shared" si="76"/>
        <v>0</v>
      </c>
      <c r="H883" s="33">
        <f>ROUND('[1]RESUMO DA PROPOSTA'!$C$23*F883,2)</f>
        <v>4329.22</v>
      </c>
      <c r="I883" s="33">
        <f t="shared" si="77"/>
        <v>0</v>
      </c>
      <c r="J883" s="34"/>
    </row>
    <row r="884" spans="1:10" x14ac:dyDescent="0.25">
      <c r="A884" s="51" t="s">
        <v>1737</v>
      </c>
      <c r="B884" s="28">
        <v>5000007440</v>
      </c>
      <c r="C884" s="42" t="s">
        <v>1738</v>
      </c>
      <c r="D884" s="30" t="s">
        <v>29</v>
      </c>
      <c r="E884" s="31"/>
      <c r="F884" s="32">
        <v>5974.37</v>
      </c>
      <c r="G884" s="33">
        <f t="shared" si="76"/>
        <v>0</v>
      </c>
      <c r="H884" s="33">
        <f>ROUND('[1]RESUMO DA PROPOSTA'!$C$23*F884,2)</f>
        <v>9558.99</v>
      </c>
      <c r="I884" s="33">
        <f t="shared" si="77"/>
        <v>0</v>
      </c>
      <c r="J884" s="34"/>
    </row>
    <row r="885" spans="1:10" x14ac:dyDescent="0.25">
      <c r="A885" s="51" t="s">
        <v>1739</v>
      </c>
      <c r="B885" s="28">
        <v>5000007441</v>
      </c>
      <c r="C885" s="42" t="s">
        <v>1740</v>
      </c>
      <c r="D885" s="30" t="s">
        <v>29</v>
      </c>
      <c r="E885" s="31"/>
      <c r="F885" s="32">
        <v>8696.8799999999992</v>
      </c>
      <c r="G885" s="33">
        <f t="shared" si="76"/>
        <v>0</v>
      </c>
      <c r="H885" s="33">
        <f>ROUND('[1]RESUMO DA PROPOSTA'!$C$23*F885,2)</f>
        <v>13915.01</v>
      </c>
      <c r="I885" s="33">
        <f t="shared" si="77"/>
        <v>0</v>
      </c>
      <c r="J885" s="34"/>
    </row>
    <row r="886" spans="1:10" x14ac:dyDescent="0.25">
      <c r="A886" s="51" t="s">
        <v>1741</v>
      </c>
      <c r="B886" s="28">
        <v>5000006725</v>
      </c>
      <c r="C886" s="42" t="s">
        <v>1742</v>
      </c>
      <c r="D886" s="30" t="s">
        <v>29</v>
      </c>
      <c r="E886" s="31"/>
      <c r="F886" s="32">
        <v>9719.7000000000007</v>
      </c>
      <c r="G886" s="33">
        <f t="shared" si="76"/>
        <v>0</v>
      </c>
      <c r="H886" s="33">
        <f>ROUND('[1]RESUMO DA PROPOSTA'!$C$23*F886,2)</f>
        <v>15551.52</v>
      </c>
      <c r="I886" s="33">
        <f t="shared" si="77"/>
        <v>0</v>
      </c>
      <c r="J886" s="34"/>
    </row>
    <row r="887" spans="1:10" x14ac:dyDescent="0.25">
      <c r="A887" s="51" t="s">
        <v>1743</v>
      </c>
      <c r="B887" s="28">
        <v>5000006724</v>
      </c>
      <c r="C887" s="42" t="s">
        <v>1744</v>
      </c>
      <c r="D887" s="30" t="s">
        <v>29</v>
      </c>
      <c r="E887" s="31"/>
      <c r="F887" s="32">
        <v>8628.5</v>
      </c>
      <c r="G887" s="33">
        <f t="shared" si="76"/>
        <v>0</v>
      </c>
      <c r="H887" s="33">
        <f>ROUND('[1]RESUMO DA PROPOSTA'!$C$23*F887,2)</f>
        <v>13805.6</v>
      </c>
      <c r="I887" s="33">
        <f t="shared" si="77"/>
        <v>0</v>
      </c>
      <c r="J887" s="34"/>
    </row>
    <row r="888" spans="1:10" x14ac:dyDescent="0.25">
      <c r="A888" s="51" t="s">
        <v>1745</v>
      </c>
      <c r="B888" s="28">
        <v>5000011480</v>
      </c>
      <c r="C888" s="42" t="s">
        <v>1746</v>
      </c>
      <c r="D888" s="30" t="s">
        <v>29</v>
      </c>
      <c r="E888" s="31"/>
      <c r="F888" s="32">
        <v>193.84</v>
      </c>
      <c r="G888" s="33">
        <f t="shared" si="76"/>
        <v>0</v>
      </c>
      <c r="H888" s="33">
        <f>ROUND('[1]RESUMO DA PROPOSTA'!$C$23*F888,2)</f>
        <v>310.14</v>
      </c>
      <c r="I888" s="33">
        <f t="shared" si="77"/>
        <v>0</v>
      </c>
      <c r="J888" s="34"/>
    </row>
    <row r="889" spans="1:10" x14ac:dyDescent="0.25">
      <c r="A889" s="51" t="s">
        <v>1747</v>
      </c>
      <c r="B889" s="28">
        <v>5000011481</v>
      </c>
      <c r="C889" s="42" t="s">
        <v>1748</v>
      </c>
      <c r="D889" s="30" t="s">
        <v>29</v>
      </c>
      <c r="E889" s="31"/>
      <c r="F889" s="32">
        <v>256.19</v>
      </c>
      <c r="G889" s="33">
        <f t="shared" si="76"/>
        <v>0</v>
      </c>
      <c r="H889" s="33">
        <f>ROUND('[1]RESUMO DA PROPOSTA'!$C$23*F889,2)</f>
        <v>409.9</v>
      </c>
      <c r="I889" s="33">
        <f t="shared" si="77"/>
        <v>0</v>
      </c>
      <c r="J889" s="34"/>
    </row>
    <row r="890" spans="1:10" x14ac:dyDescent="0.25">
      <c r="A890" s="51" t="s">
        <v>1749</v>
      </c>
      <c r="B890" s="28">
        <v>5000007453</v>
      </c>
      <c r="C890" s="42" t="s">
        <v>1750</v>
      </c>
      <c r="D890" s="30" t="s">
        <v>254</v>
      </c>
      <c r="E890" s="31"/>
      <c r="F890" s="32">
        <v>150</v>
      </c>
      <c r="G890" s="33">
        <f t="shared" si="76"/>
        <v>0</v>
      </c>
      <c r="H890" s="33">
        <f>ROUND('[1]RESUMO DA PROPOSTA'!$C$23*F890,2)</f>
        <v>240</v>
      </c>
      <c r="I890" s="33">
        <f t="shared" si="77"/>
        <v>0</v>
      </c>
      <c r="J890" s="34"/>
    </row>
    <row r="891" spans="1:10" ht="15.75" x14ac:dyDescent="0.25">
      <c r="A891" s="18" t="s">
        <v>1751</v>
      </c>
      <c r="B891" s="19"/>
      <c r="C891" s="20" t="s">
        <v>1752</v>
      </c>
      <c r="D891" s="21"/>
      <c r="E891" s="40"/>
      <c r="F891" s="23" t="s">
        <v>17</v>
      </c>
      <c r="G891" s="24">
        <f>SUBTOTAL(9,G892:G951)</f>
        <v>0</v>
      </c>
      <c r="H891" s="25" t="s">
        <v>17</v>
      </c>
      <c r="I891" s="24">
        <f>SUBTOTAL(9,I892:I951)</f>
        <v>0</v>
      </c>
      <c r="J891" s="26"/>
    </row>
    <row r="892" spans="1:10" ht="25.5" x14ac:dyDescent="0.25">
      <c r="A892" s="51" t="s">
        <v>1753</v>
      </c>
      <c r="B892" s="28">
        <v>3000016379</v>
      </c>
      <c r="C892" s="42" t="s">
        <v>1754</v>
      </c>
      <c r="D892" s="30" t="s">
        <v>29</v>
      </c>
      <c r="E892" s="31"/>
      <c r="F892" s="32">
        <v>675.45</v>
      </c>
      <c r="G892" s="33">
        <f t="shared" ref="G892:G951" si="78">ROUND(E892*F892,2)</f>
        <v>0</v>
      </c>
      <c r="H892" s="33">
        <f>ROUND('[1]RESUMO DA PROPOSTA'!$C$24*F892,2)</f>
        <v>1013.18</v>
      </c>
      <c r="I892" s="33">
        <f t="shared" ref="I892:I951" si="79">ROUND(E892*H892,2)</f>
        <v>0</v>
      </c>
      <c r="J892" s="34"/>
    </row>
    <row r="893" spans="1:10" ht="25.5" x14ac:dyDescent="0.25">
      <c r="A893" s="51" t="s">
        <v>1755</v>
      </c>
      <c r="B893" s="28">
        <v>3000016453</v>
      </c>
      <c r="C893" s="42" t="s">
        <v>1756</v>
      </c>
      <c r="D893" s="30" t="s">
        <v>29</v>
      </c>
      <c r="E893" s="31"/>
      <c r="F893" s="32">
        <v>3715</v>
      </c>
      <c r="G893" s="33">
        <f t="shared" si="78"/>
        <v>0</v>
      </c>
      <c r="H893" s="33">
        <f>ROUND('[1]RESUMO DA PROPOSTA'!$C$24*F893,2)</f>
        <v>5572.5</v>
      </c>
      <c r="I893" s="33">
        <f t="shared" si="79"/>
        <v>0</v>
      </c>
      <c r="J893" s="34"/>
    </row>
    <row r="894" spans="1:10" ht="25.5" x14ac:dyDescent="0.25">
      <c r="A894" s="51" t="s">
        <v>1757</v>
      </c>
      <c r="B894" s="28">
        <v>3000016440</v>
      </c>
      <c r="C894" s="42" t="s">
        <v>1758</v>
      </c>
      <c r="D894" s="30" t="s">
        <v>29</v>
      </c>
      <c r="E894" s="31"/>
      <c r="F894" s="32">
        <v>4052.73</v>
      </c>
      <c r="G894" s="33">
        <f t="shared" si="78"/>
        <v>0</v>
      </c>
      <c r="H894" s="33">
        <f>ROUND('[1]RESUMO DA PROPOSTA'!$C$24*F894,2)</f>
        <v>6079.1</v>
      </c>
      <c r="I894" s="33">
        <f t="shared" si="79"/>
        <v>0</v>
      </c>
      <c r="J894" s="34"/>
    </row>
    <row r="895" spans="1:10" ht="25.5" x14ac:dyDescent="0.25">
      <c r="A895" s="51" t="s">
        <v>1759</v>
      </c>
      <c r="B895" s="28">
        <v>3000016454</v>
      </c>
      <c r="C895" s="42" t="s">
        <v>1760</v>
      </c>
      <c r="D895" s="30" t="s">
        <v>29</v>
      </c>
      <c r="E895" s="31"/>
      <c r="F895" s="32">
        <v>5606.27</v>
      </c>
      <c r="G895" s="33">
        <f t="shared" si="78"/>
        <v>0</v>
      </c>
      <c r="H895" s="33">
        <f>ROUND('[1]RESUMO DA PROPOSTA'!$C$24*F895,2)</f>
        <v>8409.41</v>
      </c>
      <c r="I895" s="33">
        <f t="shared" si="79"/>
        <v>0</v>
      </c>
      <c r="J895" s="34"/>
    </row>
    <row r="896" spans="1:10" x14ac:dyDescent="0.25">
      <c r="A896" s="51" t="s">
        <v>1761</v>
      </c>
      <c r="B896" s="28">
        <v>3000016344</v>
      </c>
      <c r="C896" s="42" t="s">
        <v>1762</v>
      </c>
      <c r="D896" s="30" t="s">
        <v>1763</v>
      </c>
      <c r="E896" s="31"/>
      <c r="F896" s="32">
        <v>810.54</v>
      </c>
      <c r="G896" s="33">
        <f t="shared" si="78"/>
        <v>0</v>
      </c>
      <c r="H896" s="33">
        <f>ROUND('[1]RESUMO DA PROPOSTA'!$C$24*F896,2)</f>
        <v>1215.81</v>
      </c>
      <c r="I896" s="33">
        <f t="shared" si="79"/>
        <v>0</v>
      </c>
      <c r="J896" s="34"/>
    </row>
    <row r="897" spans="1:10" ht="25.5" x14ac:dyDescent="0.25">
      <c r="A897" s="51" t="s">
        <v>1764</v>
      </c>
      <c r="B897" s="28">
        <v>3000016634</v>
      </c>
      <c r="C897" s="42" t="s">
        <v>1765</v>
      </c>
      <c r="D897" s="30" t="s">
        <v>29</v>
      </c>
      <c r="E897" s="31"/>
      <c r="F897" s="32">
        <v>1583.16</v>
      </c>
      <c r="G897" s="33">
        <f t="shared" si="78"/>
        <v>0</v>
      </c>
      <c r="H897" s="33">
        <f>ROUND('[1]RESUMO DA PROPOSTA'!$C$24*F897,2)</f>
        <v>2374.7399999999998</v>
      </c>
      <c r="I897" s="33">
        <f t="shared" si="79"/>
        <v>0</v>
      </c>
      <c r="J897" s="34"/>
    </row>
    <row r="898" spans="1:10" ht="25.5" x14ac:dyDescent="0.25">
      <c r="A898" s="51" t="s">
        <v>1766</v>
      </c>
      <c r="B898" s="28">
        <v>3000016516</v>
      </c>
      <c r="C898" s="42" t="s">
        <v>1767</v>
      </c>
      <c r="D898" s="30" t="s">
        <v>29</v>
      </c>
      <c r="E898" s="31"/>
      <c r="F898" s="32">
        <v>337.73</v>
      </c>
      <c r="G898" s="33">
        <f t="shared" si="78"/>
        <v>0</v>
      </c>
      <c r="H898" s="33">
        <f>ROUND('[1]RESUMO DA PROPOSTA'!$C$24*F898,2)</f>
        <v>506.6</v>
      </c>
      <c r="I898" s="33">
        <f t="shared" si="79"/>
        <v>0</v>
      </c>
      <c r="J898" s="34"/>
    </row>
    <row r="899" spans="1:10" ht="25.5" x14ac:dyDescent="0.25">
      <c r="A899" s="51" t="s">
        <v>1768</v>
      </c>
      <c r="B899" s="28">
        <v>3000016441</v>
      </c>
      <c r="C899" s="42" t="s">
        <v>1769</v>
      </c>
      <c r="D899" s="30" t="s">
        <v>29</v>
      </c>
      <c r="E899" s="31"/>
      <c r="F899" s="32">
        <v>4728.2</v>
      </c>
      <c r="G899" s="33">
        <f t="shared" si="78"/>
        <v>0</v>
      </c>
      <c r="H899" s="33">
        <f>ROUND('[1]RESUMO DA PROPOSTA'!$C$24*F899,2)</f>
        <v>7092.3</v>
      </c>
      <c r="I899" s="33">
        <f t="shared" si="79"/>
        <v>0</v>
      </c>
      <c r="J899" s="34"/>
    </row>
    <row r="900" spans="1:10" ht="25.5" x14ac:dyDescent="0.25">
      <c r="A900" s="51" t="s">
        <v>1770</v>
      </c>
      <c r="B900" s="28">
        <v>3000016553</v>
      </c>
      <c r="C900" s="42" t="s">
        <v>1771</v>
      </c>
      <c r="D900" s="30" t="s">
        <v>29</v>
      </c>
      <c r="E900" s="31"/>
      <c r="F900" s="32">
        <v>743.01</v>
      </c>
      <c r="G900" s="33">
        <f t="shared" si="78"/>
        <v>0</v>
      </c>
      <c r="H900" s="33">
        <f>ROUND('[1]RESUMO DA PROPOSTA'!$C$24*F900,2)</f>
        <v>1114.52</v>
      </c>
      <c r="I900" s="33">
        <f t="shared" si="79"/>
        <v>0</v>
      </c>
      <c r="J900" s="34"/>
    </row>
    <row r="901" spans="1:10" x14ac:dyDescent="0.25">
      <c r="A901" s="51" t="s">
        <v>1772</v>
      </c>
      <c r="B901" s="28">
        <v>3000016598</v>
      </c>
      <c r="C901" s="42" t="s">
        <v>1773</v>
      </c>
      <c r="D901" s="30" t="s">
        <v>29</v>
      </c>
      <c r="E901" s="31"/>
      <c r="F901" s="32">
        <v>6332.65</v>
      </c>
      <c r="G901" s="33">
        <f t="shared" si="78"/>
        <v>0</v>
      </c>
      <c r="H901" s="33">
        <f>ROUND('[1]RESUMO DA PROPOSTA'!$C$24*F901,2)</f>
        <v>9498.98</v>
      </c>
      <c r="I901" s="33">
        <f t="shared" si="79"/>
        <v>0</v>
      </c>
      <c r="J901" s="34"/>
    </row>
    <row r="902" spans="1:10" x14ac:dyDescent="0.25">
      <c r="A902" s="51" t="s">
        <v>1774</v>
      </c>
      <c r="B902" s="28">
        <v>3000016339</v>
      </c>
      <c r="C902" s="42" t="s">
        <v>1775</v>
      </c>
      <c r="D902" s="30" t="s">
        <v>1763</v>
      </c>
      <c r="E902" s="31"/>
      <c r="F902" s="32">
        <v>3377.27</v>
      </c>
      <c r="G902" s="33">
        <f t="shared" si="78"/>
        <v>0</v>
      </c>
      <c r="H902" s="33">
        <f>ROUND('[1]RESUMO DA PROPOSTA'!$C$24*F902,2)</f>
        <v>5065.91</v>
      </c>
      <c r="I902" s="33">
        <f t="shared" si="79"/>
        <v>0</v>
      </c>
      <c r="J902" s="34"/>
    </row>
    <row r="903" spans="1:10" ht="38.25" x14ac:dyDescent="0.25">
      <c r="A903" s="51" t="s">
        <v>1776</v>
      </c>
      <c r="B903" s="28">
        <v>3000016638</v>
      </c>
      <c r="C903" s="42" t="s">
        <v>1777</v>
      </c>
      <c r="D903" s="30" t="s">
        <v>1778</v>
      </c>
      <c r="E903" s="31"/>
      <c r="F903" s="32">
        <v>1748.71</v>
      </c>
      <c r="G903" s="33">
        <f t="shared" si="78"/>
        <v>0</v>
      </c>
      <c r="H903" s="33">
        <f>ROUND('[1]RESUMO DA PROPOSTA'!$C$24*F903,2)</f>
        <v>2623.07</v>
      </c>
      <c r="I903" s="33">
        <f t="shared" si="79"/>
        <v>0</v>
      </c>
      <c r="J903" s="34"/>
    </row>
    <row r="904" spans="1:10" ht="38.25" x14ac:dyDescent="0.25">
      <c r="A904" s="51" t="s">
        <v>1779</v>
      </c>
      <c r="B904" s="28">
        <v>3000016642</v>
      </c>
      <c r="C904" s="42" t="s">
        <v>1780</v>
      </c>
      <c r="D904" s="30" t="s">
        <v>29</v>
      </c>
      <c r="E904" s="31"/>
      <c r="F904" s="32">
        <v>1311.54</v>
      </c>
      <c r="G904" s="33">
        <f t="shared" si="78"/>
        <v>0</v>
      </c>
      <c r="H904" s="33">
        <f>ROUND('[1]RESUMO DA PROPOSTA'!$C$24*F904,2)</f>
        <v>1967.31</v>
      </c>
      <c r="I904" s="33">
        <f t="shared" si="79"/>
        <v>0</v>
      </c>
      <c r="J904" s="34"/>
    </row>
    <row r="905" spans="1:10" ht="25.5" x14ac:dyDescent="0.25">
      <c r="A905" s="51" t="s">
        <v>1781</v>
      </c>
      <c r="B905" s="28">
        <v>3000016643</v>
      </c>
      <c r="C905" s="42" t="s">
        <v>1782</v>
      </c>
      <c r="D905" s="30" t="s">
        <v>29</v>
      </c>
      <c r="E905" s="31"/>
      <c r="F905" s="32">
        <v>874.36</v>
      </c>
      <c r="G905" s="33">
        <f t="shared" si="78"/>
        <v>0</v>
      </c>
      <c r="H905" s="33">
        <f>ROUND('[1]RESUMO DA PROPOSTA'!$C$24*F905,2)</f>
        <v>1311.54</v>
      </c>
      <c r="I905" s="33">
        <f t="shared" si="79"/>
        <v>0</v>
      </c>
      <c r="J905" s="34"/>
    </row>
    <row r="906" spans="1:10" ht="25.5" x14ac:dyDescent="0.25">
      <c r="A906" s="51" t="s">
        <v>1783</v>
      </c>
      <c r="B906" s="28">
        <v>3000016644</v>
      </c>
      <c r="C906" s="42" t="s">
        <v>1784</v>
      </c>
      <c r="D906" s="30" t="s">
        <v>29</v>
      </c>
      <c r="E906" s="31"/>
      <c r="F906" s="32">
        <v>1748.71</v>
      </c>
      <c r="G906" s="33">
        <f t="shared" si="78"/>
        <v>0</v>
      </c>
      <c r="H906" s="33">
        <f>ROUND('[1]RESUMO DA PROPOSTA'!$C$24*F906,2)</f>
        <v>2623.07</v>
      </c>
      <c r="I906" s="33">
        <f t="shared" si="79"/>
        <v>0</v>
      </c>
      <c r="J906" s="34"/>
    </row>
    <row r="907" spans="1:10" ht="25.5" x14ac:dyDescent="0.25">
      <c r="A907" s="51" t="s">
        <v>1785</v>
      </c>
      <c r="B907" s="28">
        <v>3000016645</v>
      </c>
      <c r="C907" s="42" t="s">
        <v>1786</v>
      </c>
      <c r="D907" s="30" t="s">
        <v>29</v>
      </c>
      <c r="E907" s="31"/>
      <c r="F907" s="32">
        <v>1311.54</v>
      </c>
      <c r="G907" s="33">
        <f t="shared" si="78"/>
        <v>0</v>
      </c>
      <c r="H907" s="33">
        <f>ROUND('[1]RESUMO DA PROPOSTA'!$C$24*F907,2)</f>
        <v>1967.31</v>
      </c>
      <c r="I907" s="33">
        <f t="shared" si="79"/>
        <v>0</v>
      </c>
      <c r="J907" s="34"/>
    </row>
    <row r="908" spans="1:10" ht="25.5" x14ac:dyDescent="0.25">
      <c r="A908" s="51" t="s">
        <v>1787</v>
      </c>
      <c r="B908" s="28">
        <v>3000016648</v>
      </c>
      <c r="C908" s="42" t="s">
        <v>1788</v>
      </c>
      <c r="D908" s="30" t="s">
        <v>29</v>
      </c>
      <c r="E908" s="31"/>
      <c r="F908" s="32">
        <v>8743.5499999999993</v>
      </c>
      <c r="G908" s="33">
        <f t="shared" si="78"/>
        <v>0</v>
      </c>
      <c r="H908" s="33">
        <f>ROUND('[1]RESUMO DA PROPOSTA'!$C$24*F908,2)</f>
        <v>13115.33</v>
      </c>
      <c r="I908" s="33">
        <f t="shared" si="79"/>
        <v>0</v>
      </c>
      <c r="J908" s="34"/>
    </row>
    <row r="909" spans="1:10" ht="25.5" x14ac:dyDescent="0.25">
      <c r="A909" s="51" t="s">
        <v>1789</v>
      </c>
      <c r="B909" s="28">
        <v>3000016649</v>
      </c>
      <c r="C909" s="42" t="s">
        <v>1790</v>
      </c>
      <c r="D909" s="30" t="s">
        <v>29</v>
      </c>
      <c r="E909" s="31"/>
      <c r="F909" s="32">
        <v>1748.71</v>
      </c>
      <c r="G909" s="33">
        <f t="shared" si="78"/>
        <v>0</v>
      </c>
      <c r="H909" s="33">
        <f>ROUND('[1]RESUMO DA PROPOSTA'!$C$24*F909,2)</f>
        <v>2623.07</v>
      </c>
      <c r="I909" s="33">
        <f t="shared" si="79"/>
        <v>0</v>
      </c>
      <c r="J909" s="34"/>
    </row>
    <row r="910" spans="1:10" x14ac:dyDescent="0.25">
      <c r="A910" s="51" t="s">
        <v>1791</v>
      </c>
      <c r="B910" s="28">
        <v>5000011482</v>
      </c>
      <c r="C910" s="42" t="s">
        <v>1792</v>
      </c>
      <c r="D910" s="30" t="s">
        <v>29</v>
      </c>
      <c r="E910" s="31"/>
      <c r="F910" s="32">
        <v>979</v>
      </c>
      <c r="G910" s="33">
        <f t="shared" si="78"/>
        <v>0</v>
      </c>
      <c r="H910" s="33">
        <f>ROUND('[1]RESUMO DA PROPOSTA'!$C$24*F910,2)</f>
        <v>1468.5</v>
      </c>
      <c r="I910" s="33">
        <f t="shared" si="79"/>
        <v>0</v>
      </c>
      <c r="J910" s="34"/>
    </row>
    <row r="911" spans="1:10" x14ac:dyDescent="0.25">
      <c r="A911" s="51" t="s">
        <v>1793</v>
      </c>
      <c r="B911" s="28">
        <v>5000011483</v>
      </c>
      <c r="C911" s="42" t="s">
        <v>1794</v>
      </c>
      <c r="D911" s="30" t="s">
        <v>29</v>
      </c>
      <c r="E911" s="31"/>
      <c r="F911" s="32">
        <v>326.37</v>
      </c>
      <c r="G911" s="33">
        <f t="shared" si="78"/>
        <v>0</v>
      </c>
      <c r="H911" s="33">
        <f>ROUND('[1]RESUMO DA PROPOSTA'!$C$24*F911,2)</f>
        <v>489.56</v>
      </c>
      <c r="I911" s="33">
        <f t="shared" si="79"/>
        <v>0</v>
      </c>
      <c r="J911" s="34"/>
    </row>
    <row r="912" spans="1:10" x14ac:dyDescent="0.25">
      <c r="A912" s="51" t="s">
        <v>1795</v>
      </c>
      <c r="B912" s="28">
        <v>5000011484</v>
      </c>
      <c r="C912" s="42" t="s">
        <v>1796</v>
      </c>
      <c r="D912" s="30" t="s">
        <v>29</v>
      </c>
      <c r="E912" s="31"/>
      <c r="F912" s="32">
        <v>782</v>
      </c>
      <c r="G912" s="33">
        <f t="shared" si="78"/>
        <v>0</v>
      </c>
      <c r="H912" s="33">
        <f>ROUND('[1]RESUMO DA PROPOSTA'!$C$24*F912,2)</f>
        <v>1173</v>
      </c>
      <c r="I912" s="33">
        <f t="shared" si="79"/>
        <v>0</v>
      </c>
      <c r="J912" s="34"/>
    </row>
    <row r="913" spans="1:10" x14ac:dyDescent="0.25">
      <c r="A913" s="51" t="s">
        <v>1797</v>
      </c>
      <c r="B913" s="28">
        <v>5000011485</v>
      </c>
      <c r="C913" s="42" t="s">
        <v>1798</v>
      </c>
      <c r="D913" s="30" t="s">
        <v>29</v>
      </c>
      <c r="E913" s="31"/>
      <c r="F913" s="32">
        <v>675.45</v>
      </c>
      <c r="G913" s="33">
        <f t="shared" si="78"/>
        <v>0</v>
      </c>
      <c r="H913" s="33">
        <f>ROUND('[1]RESUMO DA PROPOSTA'!$C$24*F913,2)</f>
        <v>1013.18</v>
      </c>
      <c r="I913" s="33">
        <f t="shared" si="79"/>
        <v>0</v>
      </c>
      <c r="J913" s="34"/>
    </row>
    <row r="914" spans="1:10" x14ac:dyDescent="0.25">
      <c r="A914" s="51" t="s">
        <v>1799</v>
      </c>
      <c r="B914" s="28">
        <v>5000011486</v>
      </c>
      <c r="C914" s="42" t="s">
        <v>1800</v>
      </c>
      <c r="D914" s="30" t="s">
        <v>29</v>
      </c>
      <c r="E914" s="31"/>
      <c r="F914" s="32">
        <v>945.63</v>
      </c>
      <c r="G914" s="33">
        <f t="shared" si="78"/>
        <v>0</v>
      </c>
      <c r="H914" s="33">
        <f>ROUND('[1]RESUMO DA PROPOSTA'!$C$24*F914,2)</f>
        <v>1418.45</v>
      </c>
      <c r="I914" s="33">
        <f t="shared" si="79"/>
        <v>0</v>
      </c>
      <c r="J914" s="34"/>
    </row>
    <row r="915" spans="1:10" x14ac:dyDescent="0.25">
      <c r="A915" s="51" t="s">
        <v>1801</v>
      </c>
      <c r="B915" s="28">
        <v>5000011487</v>
      </c>
      <c r="C915" s="42" t="s">
        <v>1802</v>
      </c>
      <c r="D915" s="30" t="s">
        <v>29</v>
      </c>
      <c r="E915" s="31"/>
      <c r="F915" s="32">
        <v>645.96</v>
      </c>
      <c r="G915" s="33">
        <f t="shared" si="78"/>
        <v>0</v>
      </c>
      <c r="H915" s="33">
        <f>ROUND('[1]RESUMO DA PROPOSTA'!$C$24*F915,2)</f>
        <v>968.94</v>
      </c>
      <c r="I915" s="33">
        <f t="shared" si="79"/>
        <v>0</v>
      </c>
      <c r="J915" s="34"/>
    </row>
    <row r="916" spans="1:10" x14ac:dyDescent="0.25">
      <c r="A916" s="51" t="s">
        <v>1803</v>
      </c>
      <c r="B916" s="28">
        <v>5000011488</v>
      </c>
      <c r="C916" s="42" t="s">
        <v>1804</v>
      </c>
      <c r="D916" s="30" t="s">
        <v>29</v>
      </c>
      <c r="E916" s="31"/>
      <c r="F916" s="32">
        <v>417.67</v>
      </c>
      <c r="G916" s="33">
        <f t="shared" si="78"/>
        <v>0</v>
      </c>
      <c r="H916" s="33">
        <f>ROUND('[1]RESUMO DA PROPOSTA'!$C$24*F916,2)</f>
        <v>626.51</v>
      </c>
      <c r="I916" s="33">
        <f t="shared" si="79"/>
        <v>0</v>
      </c>
      <c r="J916" s="34"/>
    </row>
    <row r="917" spans="1:10" x14ac:dyDescent="0.25">
      <c r="A917" s="51" t="s">
        <v>1805</v>
      </c>
      <c r="B917" s="28">
        <v>5000011489</v>
      </c>
      <c r="C917" s="42" t="s">
        <v>1806</v>
      </c>
      <c r="D917" s="30" t="s">
        <v>29</v>
      </c>
      <c r="E917" s="31"/>
      <c r="F917" s="32">
        <v>417.67</v>
      </c>
      <c r="G917" s="33">
        <f t="shared" si="78"/>
        <v>0</v>
      </c>
      <c r="H917" s="33">
        <f>ROUND('[1]RESUMO DA PROPOSTA'!$C$24*F917,2)</f>
        <v>626.51</v>
      </c>
      <c r="I917" s="33">
        <f t="shared" si="79"/>
        <v>0</v>
      </c>
      <c r="J917" s="34"/>
    </row>
    <row r="918" spans="1:10" x14ac:dyDescent="0.25">
      <c r="A918" s="51" t="s">
        <v>1807</v>
      </c>
      <c r="B918" s="28">
        <v>5000011490</v>
      </c>
      <c r="C918" s="42" t="s">
        <v>1808</v>
      </c>
      <c r="D918" s="30" t="s">
        <v>29</v>
      </c>
      <c r="E918" s="31"/>
      <c r="F918" s="32">
        <v>417.67</v>
      </c>
      <c r="G918" s="33">
        <f t="shared" si="78"/>
        <v>0</v>
      </c>
      <c r="H918" s="33">
        <f>ROUND('[1]RESUMO DA PROPOSTA'!$C$24*F918,2)</f>
        <v>626.51</v>
      </c>
      <c r="I918" s="33">
        <f t="shared" si="79"/>
        <v>0</v>
      </c>
      <c r="J918" s="34"/>
    </row>
    <row r="919" spans="1:10" x14ac:dyDescent="0.25">
      <c r="A919" s="51" t="s">
        <v>1809</v>
      </c>
      <c r="B919" s="28">
        <v>5000011491</v>
      </c>
      <c r="C919" s="42" t="s">
        <v>1810</v>
      </c>
      <c r="D919" s="30" t="s">
        <v>29</v>
      </c>
      <c r="E919" s="31"/>
      <c r="F919" s="32">
        <v>292.36</v>
      </c>
      <c r="G919" s="33">
        <f t="shared" si="78"/>
        <v>0</v>
      </c>
      <c r="H919" s="33">
        <f>ROUND('[1]RESUMO DA PROPOSTA'!$C$24*F919,2)</f>
        <v>438.54</v>
      </c>
      <c r="I919" s="33">
        <f t="shared" si="79"/>
        <v>0</v>
      </c>
      <c r="J919" s="34"/>
    </row>
    <row r="920" spans="1:10" x14ac:dyDescent="0.25">
      <c r="A920" s="51" t="s">
        <v>1811</v>
      </c>
      <c r="B920" s="28">
        <v>5000011492</v>
      </c>
      <c r="C920" s="42" t="s">
        <v>1812</v>
      </c>
      <c r="D920" s="30" t="s">
        <v>29</v>
      </c>
      <c r="E920" s="31"/>
      <c r="F920" s="32">
        <v>292.36</v>
      </c>
      <c r="G920" s="33">
        <f t="shared" si="78"/>
        <v>0</v>
      </c>
      <c r="H920" s="33">
        <f>ROUND('[1]RESUMO DA PROPOSTA'!$C$24*F920,2)</f>
        <v>438.54</v>
      </c>
      <c r="I920" s="33">
        <f t="shared" si="79"/>
        <v>0</v>
      </c>
      <c r="J920" s="34"/>
    </row>
    <row r="921" spans="1:10" x14ac:dyDescent="0.25">
      <c r="A921" s="51" t="s">
        <v>1813</v>
      </c>
      <c r="B921" s="28">
        <v>5000011493</v>
      </c>
      <c r="C921" s="42" t="s">
        <v>1814</v>
      </c>
      <c r="D921" s="30" t="s">
        <v>29</v>
      </c>
      <c r="E921" s="31"/>
      <c r="F921" s="32">
        <v>849.82</v>
      </c>
      <c r="G921" s="33">
        <f t="shared" si="78"/>
        <v>0</v>
      </c>
      <c r="H921" s="33">
        <f>ROUND('[1]RESUMO DA PROPOSTA'!$C$24*F921,2)</f>
        <v>1274.73</v>
      </c>
      <c r="I921" s="33">
        <f t="shared" si="79"/>
        <v>0</v>
      </c>
      <c r="J921" s="34"/>
    </row>
    <row r="922" spans="1:10" x14ac:dyDescent="0.25">
      <c r="A922" s="51" t="s">
        <v>1815</v>
      </c>
      <c r="B922" s="28">
        <v>5000011494</v>
      </c>
      <c r="C922" s="42" t="s">
        <v>1816</v>
      </c>
      <c r="D922" s="30" t="s">
        <v>29</v>
      </c>
      <c r="E922" s="31"/>
      <c r="F922" s="32">
        <v>849.82</v>
      </c>
      <c r="G922" s="33">
        <f t="shared" si="78"/>
        <v>0</v>
      </c>
      <c r="H922" s="33">
        <f>ROUND('[1]RESUMO DA PROPOSTA'!$C$24*F922,2)</f>
        <v>1274.73</v>
      </c>
      <c r="I922" s="33">
        <f t="shared" si="79"/>
        <v>0</v>
      </c>
      <c r="J922" s="34"/>
    </row>
    <row r="923" spans="1:10" x14ac:dyDescent="0.25">
      <c r="A923" s="51" t="s">
        <v>1817</v>
      </c>
      <c r="B923" s="28">
        <v>5000011495</v>
      </c>
      <c r="C923" s="42" t="s">
        <v>1818</v>
      </c>
      <c r="D923" s="30" t="s">
        <v>29</v>
      </c>
      <c r="E923" s="31"/>
      <c r="F923" s="32">
        <v>979</v>
      </c>
      <c r="G923" s="33">
        <f t="shared" si="78"/>
        <v>0</v>
      </c>
      <c r="H923" s="33">
        <f>ROUND('[1]RESUMO DA PROPOSTA'!$C$24*F923,2)</f>
        <v>1468.5</v>
      </c>
      <c r="I923" s="33">
        <f t="shared" si="79"/>
        <v>0</v>
      </c>
      <c r="J923" s="34"/>
    </row>
    <row r="924" spans="1:10" x14ac:dyDescent="0.25">
      <c r="A924" s="51" t="s">
        <v>1819</v>
      </c>
      <c r="B924" s="28">
        <v>5000011496</v>
      </c>
      <c r="C924" s="42" t="s">
        <v>1820</v>
      </c>
      <c r="D924" s="30" t="s">
        <v>29</v>
      </c>
      <c r="E924" s="31"/>
      <c r="F924" s="32">
        <v>849.82</v>
      </c>
      <c r="G924" s="33">
        <f t="shared" si="78"/>
        <v>0</v>
      </c>
      <c r="H924" s="33">
        <f>ROUND('[1]RESUMO DA PROPOSTA'!$C$24*F924,2)</f>
        <v>1274.73</v>
      </c>
      <c r="I924" s="33">
        <f t="shared" si="79"/>
        <v>0</v>
      </c>
      <c r="J924" s="34"/>
    </row>
    <row r="925" spans="1:10" x14ac:dyDescent="0.25">
      <c r="A925" s="51" t="s">
        <v>1821</v>
      </c>
      <c r="B925" s="28">
        <v>5000011497</v>
      </c>
      <c r="C925" s="42" t="s">
        <v>1822</v>
      </c>
      <c r="D925" s="30" t="s">
        <v>29</v>
      </c>
      <c r="E925" s="31"/>
      <c r="F925" s="32">
        <v>849.82</v>
      </c>
      <c r="G925" s="33">
        <f t="shared" si="78"/>
        <v>0</v>
      </c>
      <c r="H925" s="33">
        <f>ROUND('[1]RESUMO DA PROPOSTA'!$C$24*F925,2)</f>
        <v>1274.73</v>
      </c>
      <c r="I925" s="33">
        <f t="shared" si="79"/>
        <v>0</v>
      </c>
      <c r="J925" s="34"/>
    </row>
    <row r="926" spans="1:10" x14ac:dyDescent="0.25">
      <c r="A926" s="51" t="s">
        <v>1823</v>
      </c>
      <c r="B926" s="28">
        <v>5000011498</v>
      </c>
      <c r="C926" s="42" t="s">
        <v>1824</v>
      </c>
      <c r="D926" s="30" t="s">
        <v>29</v>
      </c>
      <c r="E926" s="31"/>
      <c r="F926" s="32">
        <v>849.82</v>
      </c>
      <c r="G926" s="33">
        <f t="shared" si="78"/>
        <v>0</v>
      </c>
      <c r="H926" s="33">
        <f>ROUND('[1]RESUMO DA PROPOSTA'!$C$24*F926,2)</f>
        <v>1274.73</v>
      </c>
      <c r="I926" s="33">
        <f t="shared" si="79"/>
        <v>0</v>
      </c>
      <c r="J926" s="34"/>
    </row>
    <row r="927" spans="1:10" x14ac:dyDescent="0.25">
      <c r="A927" s="51" t="s">
        <v>1825</v>
      </c>
      <c r="B927" s="28">
        <v>5000011499</v>
      </c>
      <c r="C927" s="42" t="s">
        <v>1826</v>
      </c>
      <c r="D927" s="30" t="s">
        <v>29</v>
      </c>
      <c r="E927" s="31"/>
      <c r="F927" s="32">
        <v>849.82</v>
      </c>
      <c r="G927" s="33">
        <f t="shared" si="78"/>
        <v>0</v>
      </c>
      <c r="H927" s="33">
        <f>ROUND('[1]RESUMO DA PROPOSTA'!$C$24*F927,2)</f>
        <v>1274.73</v>
      </c>
      <c r="I927" s="33">
        <f t="shared" si="79"/>
        <v>0</v>
      </c>
      <c r="J927" s="34"/>
    </row>
    <row r="928" spans="1:10" x14ac:dyDescent="0.25">
      <c r="A928" s="51" t="s">
        <v>1827</v>
      </c>
      <c r="B928" s="28">
        <v>5000011500</v>
      </c>
      <c r="C928" s="42" t="s">
        <v>1828</v>
      </c>
      <c r="D928" s="30" t="s">
        <v>29</v>
      </c>
      <c r="E928" s="31"/>
      <c r="F928" s="32">
        <v>282.61</v>
      </c>
      <c r="G928" s="33">
        <f t="shared" si="78"/>
        <v>0</v>
      </c>
      <c r="H928" s="33">
        <f>ROUND('[1]RESUMO DA PROPOSTA'!$C$24*F928,2)</f>
        <v>423.92</v>
      </c>
      <c r="I928" s="33">
        <f t="shared" si="79"/>
        <v>0</v>
      </c>
      <c r="J928" s="34"/>
    </row>
    <row r="929" spans="1:10" x14ac:dyDescent="0.25">
      <c r="A929" s="51" t="s">
        <v>1829</v>
      </c>
      <c r="B929" s="28">
        <v>5000011501</v>
      </c>
      <c r="C929" s="42" t="s">
        <v>1830</v>
      </c>
      <c r="D929" s="30" t="s">
        <v>29</v>
      </c>
      <c r="E929" s="31"/>
      <c r="F929" s="32">
        <v>282.61</v>
      </c>
      <c r="G929" s="33">
        <f t="shared" si="78"/>
        <v>0</v>
      </c>
      <c r="H929" s="33">
        <f>ROUND('[1]RESUMO DA PROPOSTA'!$C$24*F929,2)</f>
        <v>423.92</v>
      </c>
      <c r="I929" s="33">
        <f t="shared" si="79"/>
        <v>0</v>
      </c>
      <c r="J929" s="34"/>
    </row>
    <row r="930" spans="1:10" x14ac:dyDescent="0.25">
      <c r="A930" s="51" t="s">
        <v>1831</v>
      </c>
      <c r="B930" s="28">
        <v>5000011502</v>
      </c>
      <c r="C930" s="42" t="s">
        <v>1832</v>
      </c>
      <c r="D930" s="30" t="s">
        <v>29</v>
      </c>
      <c r="E930" s="31"/>
      <c r="F930" s="32">
        <v>979</v>
      </c>
      <c r="G930" s="33">
        <f t="shared" si="78"/>
        <v>0</v>
      </c>
      <c r="H930" s="33">
        <f>ROUND('[1]RESUMO DA PROPOSTA'!$C$24*F930,2)</f>
        <v>1468.5</v>
      </c>
      <c r="I930" s="33">
        <f t="shared" si="79"/>
        <v>0</v>
      </c>
      <c r="J930" s="34"/>
    </row>
    <row r="931" spans="1:10" x14ac:dyDescent="0.25">
      <c r="A931" s="51" t="s">
        <v>1833</v>
      </c>
      <c r="B931" s="28">
        <v>5000011503</v>
      </c>
      <c r="C931" s="42" t="s">
        <v>1834</v>
      </c>
      <c r="D931" s="30" t="s">
        <v>29</v>
      </c>
      <c r="E931" s="31"/>
      <c r="F931" s="32">
        <v>282.61</v>
      </c>
      <c r="G931" s="33">
        <f t="shared" si="78"/>
        <v>0</v>
      </c>
      <c r="H931" s="33">
        <f>ROUND('[1]RESUMO DA PROPOSTA'!$C$24*F931,2)</f>
        <v>423.92</v>
      </c>
      <c r="I931" s="33">
        <f t="shared" si="79"/>
        <v>0</v>
      </c>
      <c r="J931" s="34"/>
    </row>
    <row r="932" spans="1:10" x14ac:dyDescent="0.25">
      <c r="A932" s="51" t="s">
        <v>1835</v>
      </c>
      <c r="B932" s="28">
        <v>5000011504</v>
      </c>
      <c r="C932" s="42" t="s">
        <v>1836</v>
      </c>
      <c r="D932" s="30" t="s">
        <v>29</v>
      </c>
      <c r="E932" s="31"/>
      <c r="F932" s="32">
        <v>282.61</v>
      </c>
      <c r="G932" s="33">
        <f t="shared" si="78"/>
        <v>0</v>
      </c>
      <c r="H932" s="33">
        <f>ROUND('[1]RESUMO DA PROPOSTA'!$C$24*F932,2)</f>
        <v>423.92</v>
      </c>
      <c r="I932" s="33">
        <f t="shared" si="79"/>
        <v>0</v>
      </c>
      <c r="J932" s="34"/>
    </row>
    <row r="933" spans="1:10" x14ac:dyDescent="0.25">
      <c r="A933" s="51" t="s">
        <v>1837</v>
      </c>
      <c r="B933" s="28">
        <v>5000011505</v>
      </c>
      <c r="C933" s="42" t="s">
        <v>1838</v>
      </c>
      <c r="D933" s="30" t="s">
        <v>29</v>
      </c>
      <c r="E933" s="31"/>
      <c r="F933" s="32">
        <v>675.45</v>
      </c>
      <c r="G933" s="33">
        <f t="shared" si="78"/>
        <v>0</v>
      </c>
      <c r="H933" s="33">
        <f>ROUND('[1]RESUMO DA PROPOSTA'!$C$24*F933,2)</f>
        <v>1013.18</v>
      </c>
      <c r="I933" s="33">
        <f t="shared" si="79"/>
        <v>0</v>
      </c>
      <c r="J933" s="34"/>
    </row>
    <row r="934" spans="1:10" x14ac:dyDescent="0.25">
      <c r="A934" s="51" t="s">
        <v>1839</v>
      </c>
      <c r="B934" s="28">
        <v>5000011506</v>
      </c>
      <c r="C934" s="42" t="s">
        <v>1840</v>
      </c>
      <c r="D934" s="30" t="s">
        <v>29</v>
      </c>
      <c r="E934" s="31"/>
      <c r="F934" s="32">
        <v>979</v>
      </c>
      <c r="G934" s="33">
        <f t="shared" si="78"/>
        <v>0</v>
      </c>
      <c r="H934" s="33">
        <f>ROUND('[1]RESUMO DA PROPOSTA'!$C$24*F934,2)</f>
        <v>1468.5</v>
      </c>
      <c r="I934" s="33">
        <f t="shared" si="79"/>
        <v>0</v>
      </c>
      <c r="J934" s="34"/>
    </row>
    <row r="935" spans="1:10" x14ac:dyDescent="0.25">
      <c r="A935" s="51" t="s">
        <v>1841</v>
      </c>
      <c r="B935" s="28">
        <v>5000011507</v>
      </c>
      <c r="C935" s="42" t="s">
        <v>1842</v>
      </c>
      <c r="D935" s="30" t="s">
        <v>29</v>
      </c>
      <c r="E935" s="31"/>
      <c r="F935" s="32">
        <v>2775.67</v>
      </c>
      <c r="G935" s="33">
        <f t="shared" si="78"/>
        <v>0</v>
      </c>
      <c r="H935" s="33">
        <f>ROUND('[1]RESUMO DA PROPOSTA'!$C$24*F935,2)</f>
        <v>4163.51</v>
      </c>
      <c r="I935" s="33">
        <f t="shared" si="79"/>
        <v>0</v>
      </c>
      <c r="J935" s="34"/>
    </row>
    <row r="936" spans="1:10" x14ac:dyDescent="0.25">
      <c r="A936" s="51" t="s">
        <v>1843</v>
      </c>
      <c r="B936" s="28">
        <v>5000011508</v>
      </c>
      <c r="C936" s="42" t="s">
        <v>1844</v>
      </c>
      <c r="D936" s="30" t="s">
        <v>29</v>
      </c>
      <c r="E936" s="31"/>
      <c r="F936" s="32">
        <v>3375.67</v>
      </c>
      <c r="G936" s="33">
        <f t="shared" si="78"/>
        <v>0</v>
      </c>
      <c r="H936" s="33">
        <f>ROUND('[1]RESUMO DA PROPOSTA'!$C$24*F936,2)</f>
        <v>5063.51</v>
      </c>
      <c r="I936" s="33">
        <f t="shared" si="79"/>
        <v>0</v>
      </c>
      <c r="J936" s="34"/>
    </row>
    <row r="937" spans="1:10" x14ac:dyDescent="0.25">
      <c r="A937" s="51" t="s">
        <v>1845</v>
      </c>
      <c r="B937" s="28">
        <v>5000011509</v>
      </c>
      <c r="C937" s="42" t="s">
        <v>1846</v>
      </c>
      <c r="D937" s="30" t="s">
        <v>29</v>
      </c>
      <c r="E937" s="31"/>
      <c r="F937" s="32">
        <v>4275.67</v>
      </c>
      <c r="G937" s="33">
        <f t="shared" si="78"/>
        <v>0</v>
      </c>
      <c r="H937" s="33">
        <f>ROUND('[1]RESUMO DA PROPOSTA'!$C$24*F937,2)</f>
        <v>6413.51</v>
      </c>
      <c r="I937" s="33">
        <f t="shared" si="79"/>
        <v>0</v>
      </c>
      <c r="J937" s="34"/>
    </row>
    <row r="938" spans="1:10" x14ac:dyDescent="0.25">
      <c r="A938" s="51" t="s">
        <v>1847</v>
      </c>
      <c r="B938" s="28">
        <v>5000011510</v>
      </c>
      <c r="C938" s="42" t="s">
        <v>1848</v>
      </c>
      <c r="D938" s="30" t="s">
        <v>29</v>
      </c>
      <c r="E938" s="31"/>
      <c r="F938" s="32">
        <v>2775.67</v>
      </c>
      <c r="G938" s="33">
        <f t="shared" si="78"/>
        <v>0</v>
      </c>
      <c r="H938" s="33">
        <f>ROUND('[1]RESUMO DA PROPOSTA'!$C$24*F938,2)</f>
        <v>4163.51</v>
      </c>
      <c r="I938" s="33">
        <f t="shared" si="79"/>
        <v>0</v>
      </c>
      <c r="J938" s="34"/>
    </row>
    <row r="939" spans="1:10" x14ac:dyDescent="0.25">
      <c r="A939" s="51" t="s">
        <v>1849</v>
      </c>
      <c r="B939" s="28">
        <v>5000011511</v>
      </c>
      <c r="C939" s="42" t="s">
        <v>1850</v>
      </c>
      <c r="D939" s="30" t="s">
        <v>29</v>
      </c>
      <c r="E939" s="31"/>
      <c r="F939" s="32">
        <v>3375.67</v>
      </c>
      <c r="G939" s="33">
        <f t="shared" si="78"/>
        <v>0</v>
      </c>
      <c r="H939" s="33">
        <f>ROUND('[1]RESUMO DA PROPOSTA'!$C$24*F939,2)</f>
        <v>5063.51</v>
      </c>
      <c r="I939" s="33">
        <f t="shared" si="79"/>
        <v>0</v>
      </c>
      <c r="J939" s="34"/>
    </row>
    <row r="940" spans="1:10" x14ac:dyDescent="0.25">
      <c r="A940" s="51" t="s">
        <v>1851</v>
      </c>
      <c r="B940" s="28">
        <v>5000011512</v>
      </c>
      <c r="C940" s="42" t="s">
        <v>1852</v>
      </c>
      <c r="D940" s="30" t="s">
        <v>29</v>
      </c>
      <c r="E940" s="31"/>
      <c r="F940" s="32">
        <v>4275.67</v>
      </c>
      <c r="G940" s="33">
        <f t="shared" si="78"/>
        <v>0</v>
      </c>
      <c r="H940" s="33">
        <f>ROUND('[1]RESUMO DA PROPOSTA'!$C$24*F940,2)</f>
        <v>6413.51</v>
      </c>
      <c r="I940" s="33">
        <f t="shared" si="79"/>
        <v>0</v>
      </c>
      <c r="J940" s="34"/>
    </row>
    <row r="941" spans="1:10" x14ac:dyDescent="0.25">
      <c r="A941" s="51" t="s">
        <v>1853</v>
      </c>
      <c r="B941" s="28">
        <v>5000011513</v>
      </c>
      <c r="C941" s="42" t="s">
        <v>1854</v>
      </c>
      <c r="D941" s="30" t="s">
        <v>29</v>
      </c>
      <c r="E941" s="31"/>
      <c r="F941" s="32">
        <v>9252.23</v>
      </c>
      <c r="G941" s="33">
        <f t="shared" si="78"/>
        <v>0</v>
      </c>
      <c r="H941" s="33">
        <f>ROUND('[1]RESUMO DA PROPOSTA'!$C$24*F941,2)</f>
        <v>13878.35</v>
      </c>
      <c r="I941" s="33">
        <f t="shared" si="79"/>
        <v>0</v>
      </c>
      <c r="J941" s="34"/>
    </row>
    <row r="942" spans="1:10" x14ac:dyDescent="0.25">
      <c r="A942" s="51" t="s">
        <v>1855</v>
      </c>
      <c r="B942" s="28">
        <v>5000011514</v>
      </c>
      <c r="C942" s="42" t="s">
        <v>1856</v>
      </c>
      <c r="D942" s="30" t="s">
        <v>29</v>
      </c>
      <c r="E942" s="31"/>
      <c r="F942" s="32">
        <v>11252.23</v>
      </c>
      <c r="G942" s="33">
        <f t="shared" si="78"/>
        <v>0</v>
      </c>
      <c r="H942" s="33">
        <f>ROUND('[1]RESUMO DA PROPOSTA'!$C$24*F942,2)</f>
        <v>16878.349999999999</v>
      </c>
      <c r="I942" s="33">
        <f t="shared" si="79"/>
        <v>0</v>
      </c>
      <c r="J942" s="34"/>
    </row>
    <row r="943" spans="1:10" x14ac:dyDescent="0.25">
      <c r="A943" s="51" t="s">
        <v>1857</v>
      </c>
      <c r="B943" s="28">
        <v>5000011515</v>
      </c>
      <c r="C943" s="42" t="s">
        <v>1858</v>
      </c>
      <c r="D943" s="30" t="s">
        <v>29</v>
      </c>
      <c r="E943" s="31"/>
      <c r="F943" s="32">
        <v>14252.23</v>
      </c>
      <c r="G943" s="33">
        <f t="shared" si="78"/>
        <v>0</v>
      </c>
      <c r="H943" s="33">
        <f>ROUND('[1]RESUMO DA PROPOSTA'!$C$24*F943,2)</f>
        <v>21378.35</v>
      </c>
      <c r="I943" s="33">
        <f t="shared" si="79"/>
        <v>0</v>
      </c>
      <c r="J943" s="34"/>
    </row>
    <row r="944" spans="1:10" x14ac:dyDescent="0.25">
      <c r="A944" s="51" t="s">
        <v>1859</v>
      </c>
      <c r="B944" s="28">
        <v>5000011516</v>
      </c>
      <c r="C944" s="42" t="s">
        <v>1854</v>
      </c>
      <c r="D944" s="30" t="s">
        <v>29</v>
      </c>
      <c r="E944" s="31"/>
      <c r="F944" s="32">
        <v>3275.67</v>
      </c>
      <c r="G944" s="33">
        <f t="shared" si="78"/>
        <v>0</v>
      </c>
      <c r="H944" s="33">
        <f>ROUND('[1]RESUMO DA PROPOSTA'!$C$24*F944,2)</f>
        <v>4913.51</v>
      </c>
      <c r="I944" s="33">
        <f t="shared" si="79"/>
        <v>0</v>
      </c>
      <c r="J944" s="34"/>
    </row>
    <row r="945" spans="1:10" x14ac:dyDescent="0.25">
      <c r="A945" s="51" t="s">
        <v>1860</v>
      </c>
      <c r="B945" s="28">
        <v>5000011517</v>
      </c>
      <c r="C945" s="42" t="s">
        <v>1856</v>
      </c>
      <c r="D945" s="30" t="s">
        <v>29</v>
      </c>
      <c r="E945" s="31"/>
      <c r="F945" s="32">
        <v>5275.67</v>
      </c>
      <c r="G945" s="33">
        <f t="shared" si="78"/>
        <v>0</v>
      </c>
      <c r="H945" s="33">
        <f>ROUND('[1]RESUMO DA PROPOSTA'!$C$24*F945,2)</f>
        <v>7913.51</v>
      </c>
      <c r="I945" s="33">
        <f t="shared" si="79"/>
        <v>0</v>
      </c>
      <c r="J945" s="34"/>
    </row>
    <row r="946" spans="1:10" x14ac:dyDescent="0.25">
      <c r="A946" s="51" t="s">
        <v>1861</v>
      </c>
      <c r="B946" s="28">
        <v>5000011518</v>
      </c>
      <c r="C946" s="42" t="s">
        <v>1862</v>
      </c>
      <c r="D946" s="30" t="s">
        <v>29</v>
      </c>
      <c r="E946" s="31"/>
      <c r="F946" s="32">
        <v>6275.67</v>
      </c>
      <c r="G946" s="33">
        <f t="shared" si="78"/>
        <v>0</v>
      </c>
      <c r="H946" s="33">
        <f>ROUND('[1]RESUMO DA PROPOSTA'!$C$24*F946,2)</f>
        <v>9413.51</v>
      </c>
      <c r="I946" s="33">
        <f t="shared" si="79"/>
        <v>0</v>
      </c>
      <c r="J946" s="34"/>
    </row>
    <row r="947" spans="1:10" x14ac:dyDescent="0.25">
      <c r="A947" s="51" t="s">
        <v>1863</v>
      </c>
      <c r="B947" s="28">
        <v>5000011519</v>
      </c>
      <c r="C947" s="42" t="s">
        <v>1864</v>
      </c>
      <c r="D947" s="30" t="s">
        <v>1865</v>
      </c>
      <c r="E947" s="31"/>
      <c r="F947" s="32">
        <v>1572.35</v>
      </c>
      <c r="G947" s="33">
        <f t="shared" si="78"/>
        <v>0</v>
      </c>
      <c r="H947" s="33">
        <f>ROUND('[1]RESUMO DA PROPOSTA'!$C$24*F947,2)</f>
        <v>2358.5300000000002</v>
      </c>
      <c r="I947" s="33">
        <f t="shared" si="79"/>
        <v>0</v>
      </c>
      <c r="J947" s="34"/>
    </row>
    <row r="948" spans="1:10" x14ac:dyDescent="0.25">
      <c r="A948" s="51" t="s">
        <v>1866</v>
      </c>
      <c r="B948" s="28">
        <v>5000011520</v>
      </c>
      <c r="C948" s="42" t="s">
        <v>1867</v>
      </c>
      <c r="D948" s="30" t="s">
        <v>1865</v>
      </c>
      <c r="E948" s="31"/>
      <c r="F948" s="32">
        <v>2623.5</v>
      </c>
      <c r="G948" s="33">
        <f t="shared" si="78"/>
        <v>0</v>
      </c>
      <c r="H948" s="33">
        <f>ROUND('[1]RESUMO DA PROPOSTA'!$C$24*F948,2)</f>
        <v>3935.25</v>
      </c>
      <c r="I948" s="33">
        <f t="shared" si="79"/>
        <v>0</v>
      </c>
      <c r="J948" s="34"/>
    </row>
    <row r="949" spans="1:10" x14ac:dyDescent="0.25">
      <c r="A949" s="51" t="s">
        <v>1868</v>
      </c>
      <c r="B949" s="28">
        <v>5000011521</v>
      </c>
      <c r="C949" s="42" t="s">
        <v>1869</v>
      </c>
      <c r="D949" s="30" t="s">
        <v>1865</v>
      </c>
      <c r="E949" s="31"/>
      <c r="F949" s="32">
        <v>4283.01</v>
      </c>
      <c r="G949" s="33">
        <f t="shared" si="78"/>
        <v>0</v>
      </c>
      <c r="H949" s="33">
        <f>ROUND('[1]RESUMO DA PROPOSTA'!$C$24*F949,2)</f>
        <v>6424.52</v>
      </c>
      <c r="I949" s="33">
        <f t="shared" si="79"/>
        <v>0</v>
      </c>
      <c r="J949" s="34"/>
    </row>
    <row r="950" spans="1:10" x14ac:dyDescent="0.25">
      <c r="A950" s="51" t="s">
        <v>1870</v>
      </c>
      <c r="B950" s="28">
        <v>5000011522</v>
      </c>
      <c r="C950" s="42" t="s">
        <v>1871</v>
      </c>
      <c r="D950" s="30" t="s">
        <v>29</v>
      </c>
      <c r="E950" s="31"/>
      <c r="F950" s="32">
        <v>3610.3</v>
      </c>
      <c r="G950" s="33">
        <f t="shared" si="78"/>
        <v>0</v>
      </c>
      <c r="H950" s="33">
        <f>ROUND('[1]RESUMO DA PROPOSTA'!$C$24*F950,2)</f>
        <v>5415.45</v>
      </c>
      <c r="I950" s="33">
        <f t="shared" si="79"/>
        <v>0</v>
      </c>
      <c r="J950" s="34"/>
    </row>
    <row r="951" spans="1:10" x14ac:dyDescent="0.25">
      <c r="A951" s="51" t="s">
        <v>1872</v>
      </c>
      <c r="B951" s="28">
        <v>5000011523</v>
      </c>
      <c r="C951" s="42" t="s">
        <v>1873</v>
      </c>
      <c r="D951" s="30" t="s">
        <v>29</v>
      </c>
      <c r="E951" s="31"/>
      <c r="F951" s="32">
        <v>2527.21</v>
      </c>
      <c r="G951" s="33">
        <f t="shared" si="78"/>
        <v>0</v>
      </c>
      <c r="H951" s="33">
        <f>ROUND('[1]RESUMO DA PROPOSTA'!$C$24*F951,2)</f>
        <v>3790.82</v>
      </c>
      <c r="I951" s="33">
        <f t="shared" si="79"/>
        <v>0</v>
      </c>
      <c r="J951" s="34"/>
    </row>
    <row r="952" spans="1:10" ht="15.75" x14ac:dyDescent="0.25">
      <c r="A952" s="18" t="s">
        <v>1874</v>
      </c>
      <c r="B952" s="19"/>
      <c r="C952" s="20" t="s">
        <v>1875</v>
      </c>
      <c r="D952" s="21"/>
      <c r="E952" s="40"/>
      <c r="F952" s="23" t="s">
        <v>17</v>
      </c>
      <c r="G952" s="24">
        <f>SUBTOTAL(9,G953:G1005)</f>
        <v>0</v>
      </c>
      <c r="H952" s="25" t="s">
        <v>17</v>
      </c>
      <c r="I952" s="24">
        <f>SUBTOTAL(9,I953:I1005)</f>
        <v>0</v>
      </c>
      <c r="J952" s="26"/>
    </row>
    <row r="953" spans="1:10" ht="25.5" x14ac:dyDescent="0.25">
      <c r="A953" s="51" t="s">
        <v>1876</v>
      </c>
      <c r="B953" s="28">
        <v>3000016332</v>
      </c>
      <c r="C953" s="42" t="s">
        <v>1877</v>
      </c>
      <c r="D953" s="30" t="s">
        <v>29</v>
      </c>
      <c r="E953" s="31"/>
      <c r="F953" s="32">
        <v>1419.9</v>
      </c>
      <c r="G953" s="33">
        <f t="shared" ref="G953:G1005" si="80">ROUND(E953*F953,2)</f>
        <v>0</v>
      </c>
      <c r="H953" s="33">
        <f>ROUND('[1]RESUMO DA PROPOSTA'!$C$25*F953,2)</f>
        <v>2200.85</v>
      </c>
      <c r="I953" s="33">
        <f t="shared" ref="I953:I1005" si="81">ROUND(E953*H953,2)</f>
        <v>0</v>
      </c>
      <c r="J953" s="34"/>
    </row>
    <row r="954" spans="1:10" x14ac:dyDescent="0.25">
      <c r="A954" s="51" t="s">
        <v>1878</v>
      </c>
      <c r="B954" s="28">
        <v>3000016337</v>
      </c>
      <c r="C954" s="42" t="s">
        <v>1879</v>
      </c>
      <c r="D954" s="30" t="s">
        <v>178</v>
      </c>
      <c r="E954" s="31"/>
      <c r="F954" s="32">
        <v>186.66</v>
      </c>
      <c r="G954" s="33">
        <f t="shared" si="80"/>
        <v>0</v>
      </c>
      <c r="H954" s="33">
        <f>ROUND('[1]RESUMO DA PROPOSTA'!$C$25*F954,2)</f>
        <v>289.32</v>
      </c>
      <c r="I954" s="33">
        <f t="shared" si="81"/>
        <v>0</v>
      </c>
      <c r="J954" s="34"/>
    </row>
    <row r="955" spans="1:10" x14ac:dyDescent="0.25">
      <c r="A955" s="51" t="s">
        <v>1880</v>
      </c>
      <c r="B955" s="28">
        <v>3000016338</v>
      </c>
      <c r="C955" s="42" t="s">
        <v>1881</v>
      </c>
      <c r="D955" s="30" t="s">
        <v>178</v>
      </c>
      <c r="E955" s="31"/>
      <c r="F955" s="32">
        <v>200.47</v>
      </c>
      <c r="G955" s="33">
        <f t="shared" si="80"/>
        <v>0</v>
      </c>
      <c r="H955" s="33">
        <f>ROUND('[1]RESUMO DA PROPOSTA'!$C$25*F955,2)</f>
        <v>310.73</v>
      </c>
      <c r="I955" s="33">
        <f t="shared" si="81"/>
        <v>0</v>
      </c>
      <c r="J955" s="34"/>
    </row>
    <row r="956" spans="1:10" ht="25.5" x14ac:dyDescent="0.25">
      <c r="A956" s="51" t="s">
        <v>1882</v>
      </c>
      <c r="B956" s="28">
        <v>3000016340</v>
      </c>
      <c r="C956" s="42" t="s">
        <v>1883</v>
      </c>
      <c r="D956" s="30" t="s">
        <v>1884</v>
      </c>
      <c r="E956" s="31"/>
      <c r="F956" s="32">
        <v>795.88</v>
      </c>
      <c r="G956" s="33">
        <f t="shared" si="80"/>
        <v>0</v>
      </c>
      <c r="H956" s="33">
        <f>ROUND('[1]RESUMO DA PROPOSTA'!$C$25*F956,2)</f>
        <v>1233.6099999999999</v>
      </c>
      <c r="I956" s="33">
        <f t="shared" si="81"/>
        <v>0</v>
      </c>
      <c r="J956" s="34"/>
    </row>
    <row r="957" spans="1:10" ht="25.5" x14ac:dyDescent="0.25">
      <c r="A957" s="51" t="s">
        <v>1885</v>
      </c>
      <c r="B957" s="28">
        <v>3000016371</v>
      </c>
      <c r="C957" s="42" t="s">
        <v>1886</v>
      </c>
      <c r="D957" s="30" t="s">
        <v>29</v>
      </c>
      <c r="E957" s="31"/>
      <c r="F957" s="32">
        <v>1763.52</v>
      </c>
      <c r="G957" s="33">
        <f t="shared" si="80"/>
        <v>0</v>
      </c>
      <c r="H957" s="33">
        <f>ROUND('[1]RESUMO DA PROPOSTA'!$C$25*F957,2)</f>
        <v>2733.46</v>
      </c>
      <c r="I957" s="33">
        <f t="shared" si="81"/>
        <v>0</v>
      </c>
      <c r="J957" s="34"/>
    </row>
    <row r="958" spans="1:10" ht="25.5" x14ac:dyDescent="0.25">
      <c r="A958" s="51" t="s">
        <v>1887</v>
      </c>
      <c r="B958" s="28">
        <v>3000016373</v>
      </c>
      <c r="C958" s="42" t="s">
        <v>1888</v>
      </c>
      <c r="D958" s="30" t="s">
        <v>29</v>
      </c>
      <c r="E958" s="31"/>
      <c r="F958" s="32">
        <v>2380.77</v>
      </c>
      <c r="G958" s="33">
        <f t="shared" si="80"/>
        <v>0</v>
      </c>
      <c r="H958" s="33">
        <f>ROUND('[1]RESUMO DA PROPOSTA'!$C$25*F958,2)</f>
        <v>3690.19</v>
      </c>
      <c r="I958" s="33">
        <f t="shared" si="81"/>
        <v>0</v>
      </c>
      <c r="J958" s="34"/>
    </row>
    <row r="959" spans="1:10" x14ac:dyDescent="0.25">
      <c r="A959" s="51" t="s">
        <v>1889</v>
      </c>
      <c r="B959" s="28">
        <v>3000016385</v>
      </c>
      <c r="C959" s="42" t="s">
        <v>1890</v>
      </c>
      <c r="D959" s="30" t="s">
        <v>463</v>
      </c>
      <c r="E959" s="31"/>
      <c r="F959" s="32">
        <v>24.16</v>
      </c>
      <c r="G959" s="33">
        <f t="shared" si="80"/>
        <v>0</v>
      </c>
      <c r="H959" s="33">
        <f>ROUND('[1]RESUMO DA PROPOSTA'!$C$25*F959,2)</f>
        <v>37.450000000000003</v>
      </c>
      <c r="I959" s="33">
        <f t="shared" si="81"/>
        <v>0</v>
      </c>
      <c r="J959" s="34"/>
    </row>
    <row r="960" spans="1:10" x14ac:dyDescent="0.25">
      <c r="A960" s="51" t="s">
        <v>1891</v>
      </c>
      <c r="B960" s="28">
        <v>3000016400</v>
      </c>
      <c r="C960" s="42" t="s">
        <v>1892</v>
      </c>
      <c r="D960" s="30" t="s">
        <v>29</v>
      </c>
      <c r="E960" s="31"/>
      <c r="F960" s="32">
        <v>290.99</v>
      </c>
      <c r="G960" s="33">
        <f t="shared" si="80"/>
        <v>0</v>
      </c>
      <c r="H960" s="33">
        <f>ROUND('[1]RESUMO DA PROPOSTA'!$C$25*F960,2)</f>
        <v>451.03</v>
      </c>
      <c r="I960" s="33">
        <f t="shared" si="81"/>
        <v>0</v>
      </c>
      <c r="J960" s="34"/>
    </row>
    <row r="961" spans="1:10" ht="25.5" x14ac:dyDescent="0.25">
      <c r="A961" s="51" t="s">
        <v>1893</v>
      </c>
      <c r="B961" s="28">
        <v>3000016410</v>
      </c>
      <c r="C961" s="42" t="s">
        <v>1894</v>
      </c>
      <c r="D961" s="30" t="s">
        <v>29</v>
      </c>
      <c r="E961" s="31"/>
      <c r="F961" s="32">
        <v>1763.52</v>
      </c>
      <c r="G961" s="33">
        <f t="shared" si="80"/>
        <v>0</v>
      </c>
      <c r="H961" s="33">
        <f>ROUND('[1]RESUMO DA PROPOSTA'!$C$25*F961,2)</f>
        <v>2733.46</v>
      </c>
      <c r="I961" s="33">
        <f t="shared" si="81"/>
        <v>0</v>
      </c>
      <c r="J961" s="34"/>
    </row>
    <row r="962" spans="1:10" ht="25.5" x14ac:dyDescent="0.25">
      <c r="A962" s="51" t="s">
        <v>1895</v>
      </c>
      <c r="B962" s="28">
        <v>3000016411</v>
      </c>
      <c r="C962" s="42" t="s">
        <v>1896</v>
      </c>
      <c r="D962" s="30" t="s">
        <v>29</v>
      </c>
      <c r="E962" s="31"/>
      <c r="F962" s="32">
        <v>2557.12</v>
      </c>
      <c r="G962" s="33">
        <f t="shared" si="80"/>
        <v>0</v>
      </c>
      <c r="H962" s="33">
        <f>ROUND('[1]RESUMO DA PROPOSTA'!$C$25*F962,2)</f>
        <v>3963.54</v>
      </c>
      <c r="I962" s="33">
        <f t="shared" si="81"/>
        <v>0</v>
      </c>
      <c r="J962" s="34"/>
    </row>
    <row r="963" spans="1:10" ht="25.5" x14ac:dyDescent="0.25">
      <c r="A963" s="51" t="s">
        <v>1897</v>
      </c>
      <c r="B963" s="28">
        <v>3000016412</v>
      </c>
      <c r="C963" s="42" t="s">
        <v>1898</v>
      </c>
      <c r="D963" s="30" t="s">
        <v>29</v>
      </c>
      <c r="E963" s="31"/>
      <c r="F963" s="32">
        <v>3527.06</v>
      </c>
      <c r="G963" s="33">
        <f t="shared" si="80"/>
        <v>0</v>
      </c>
      <c r="H963" s="33">
        <f>ROUND('[1]RESUMO DA PROPOSTA'!$C$25*F963,2)</f>
        <v>5466.94</v>
      </c>
      <c r="I963" s="33">
        <f t="shared" si="81"/>
        <v>0</v>
      </c>
      <c r="J963" s="34"/>
    </row>
    <row r="964" spans="1:10" ht="25.5" x14ac:dyDescent="0.25">
      <c r="A964" s="51" t="s">
        <v>1899</v>
      </c>
      <c r="B964" s="28">
        <v>3000016414</v>
      </c>
      <c r="C964" s="42" t="s">
        <v>1900</v>
      </c>
      <c r="D964" s="30" t="s">
        <v>29</v>
      </c>
      <c r="E964" s="31"/>
      <c r="F964" s="32">
        <v>354.97</v>
      </c>
      <c r="G964" s="33">
        <f t="shared" si="80"/>
        <v>0</v>
      </c>
      <c r="H964" s="33">
        <f>ROUND('[1]RESUMO DA PROPOSTA'!$C$25*F964,2)</f>
        <v>550.20000000000005</v>
      </c>
      <c r="I964" s="33">
        <f t="shared" si="81"/>
        <v>0</v>
      </c>
      <c r="J964" s="34"/>
    </row>
    <row r="965" spans="1:10" x14ac:dyDescent="0.25">
      <c r="A965" s="51" t="s">
        <v>1901</v>
      </c>
      <c r="B965" s="28">
        <v>3000016416</v>
      </c>
      <c r="C965" s="42" t="s">
        <v>1902</v>
      </c>
      <c r="D965" s="30" t="s">
        <v>29</v>
      </c>
      <c r="E965" s="31"/>
      <c r="F965" s="32">
        <v>2555.8000000000002</v>
      </c>
      <c r="G965" s="33">
        <f t="shared" si="80"/>
        <v>0</v>
      </c>
      <c r="H965" s="33">
        <f>ROUND('[1]RESUMO DA PROPOSTA'!$C$25*F965,2)</f>
        <v>3961.49</v>
      </c>
      <c r="I965" s="33">
        <f t="shared" si="81"/>
        <v>0</v>
      </c>
      <c r="J965" s="34"/>
    </row>
    <row r="966" spans="1:10" x14ac:dyDescent="0.25">
      <c r="A966" s="51" t="s">
        <v>1903</v>
      </c>
      <c r="B966" s="28">
        <v>3000016417</v>
      </c>
      <c r="C966" s="42" t="s">
        <v>1904</v>
      </c>
      <c r="D966" s="30" t="s">
        <v>29</v>
      </c>
      <c r="E966" s="31"/>
      <c r="F966" s="32">
        <v>529.05999999999995</v>
      </c>
      <c r="G966" s="33">
        <f t="shared" si="80"/>
        <v>0</v>
      </c>
      <c r="H966" s="33">
        <f>ROUND('[1]RESUMO DA PROPOSTA'!$C$25*F966,2)</f>
        <v>820.04</v>
      </c>
      <c r="I966" s="33">
        <f t="shared" si="81"/>
        <v>0</v>
      </c>
      <c r="J966" s="34"/>
    </row>
    <row r="967" spans="1:10" ht="25.5" x14ac:dyDescent="0.25">
      <c r="A967" s="51" t="s">
        <v>1905</v>
      </c>
      <c r="B967" s="28">
        <v>3000016418</v>
      </c>
      <c r="C967" s="42" t="s">
        <v>1906</v>
      </c>
      <c r="D967" s="30" t="s">
        <v>29</v>
      </c>
      <c r="E967" s="31"/>
      <c r="F967" s="32">
        <v>3438.88</v>
      </c>
      <c r="G967" s="33">
        <f t="shared" si="80"/>
        <v>0</v>
      </c>
      <c r="H967" s="33">
        <f>ROUND('[1]RESUMO DA PROPOSTA'!$C$25*F967,2)</f>
        <v>5330.26</v>
      </c>
      <c r="I967" s="33">
        <f t="shared" si="81"/>
        <v>0</v>
      </c>
      <c r="J967" s="34"/>
    </row>
    <row r="968" spans="1:10" ht="25.5" x14ac:dyDescent="0.25">
      <c r="A968" s="51" t="s">
        <v>1907</v>
      </c>
      <c r="B968" s="28">
        <v>3000016430</v>
      </c>
      <c r="C968" s="42" t="s">
        <v>1908</v>
      </c>
      <c r="D968" s="30" t="s">
        <v>1909</v>
      </c>
      <c r="E968" s="31"/>
      <c r="F968" s="32">
        <v>1277.9100000000001</v>
      </c>
      <c r="G968" s="33">
        <f t="shared" si="80"/>
        <v>0</v>
      </c>
      <c r="H968" s="33">
        <f>ROUND('[1]RESUMO DA PROPOSTA'!$C$25*F968,2)</f>
        <v>1980.76</v>
      </c>
      <c r="I968" s="33">
        <f t="shared" si="81"/>
        <v>0</v>
      </c>
      <c r="J968" s="34"/>
    </row>
    <row r="969" spans="1:10" x14ac:dyDescent="0.25">
      <c r="A969" s="51" t="s">
        <v>1910</v>
      </c>
      <c r="B969" s="28">
        <v>3000016470</v>
      </c>
      <c r="C969" s="42" t="s">
        <v>1911</v>
      </c>
      <c r="D969" s="30" t="s">
        <v>29</v>
      </c>
      <c r="E969" s="31"/>
      <c r="F969" s="32">
        <v>567.97</v>
      </c>
      <c r="G969" s="33">
        <f t="shared" si="80"/>
        <v>0</v>
      </c>
      <c r="H969" s="33">
        <f>ROUND('[1]RESUMO DA PROPOSTA'!$C$25*F969,2)</f>
        <v>880.35</v>
      </c>
      <c r="I969" s="33">
        <f t="shared" si="81"/>
        <v>0</v>
      </c>
      <c r="J969" s="34"/>
    </row>
    <row r="970" spans="1:10" ht="25.5" x14ac:dyDescent="0.25">
      <c r="A970" s="51" t="s">
        <v>1912</v>
      </c>
      <c r="B970" s="28">
        <v>3000016477</v>
      </c>
      <c r="C970" s="42" t="s">
        <v>1913</v>
      </c>
      <c r="D970" s="30" t="s">
        <v>1914</v>
      </c>
      <c r="E970" s="31"/>
      <c r="F970" s="32">
        <v>2028.07</v>
      </c>
      <c r="G970" s="33">
        <f t="shared" si="80"/>
        <v>0</v>
      </c>
      <c r="H970" s="33">
        <f>ROUND('[1]RESUMO DA PROPOSTA'!$C$25*F970,2)</f>
        <v>3143.51</v>
      </c>
      <c r="I970" s="33">
        <f t="shared" si="81"/>
        <v>0</v>
      </c>
      <c r="J970" s="34"/>
    </row>
    <row r="971" spans="1:10" x14ac:dyDescent="0.25">
      <c r="A971" s="51" t="s">
        <v>1915</v>
      </c>
      <c r="B971" s="28">
        <v>3000016515</v>
      </c>
      <c r="C971" s="42" t="s">
        <v>1916</v>
      </c>
      <c r="D971" s="30" t="s">
        <v>29</v>
      </c>
      <c r="E971" s="31"/>
      <c r="F971" s="32">
        <v>705.42</v>
      </c>
      <c r="G971" s="33">
        <f t="shared" si="80"/>
        <v>0</v>
      </c>
      <c r="H971" s="33">
        <f>ROUND('[1]RESUMO DA PROPOSTA'!$C$25*F971,2)</f>
        <v>1093.4000000000001</v>
      </c>
      <c r="I971" s="33">
        <f t="shared" si="81"/>
        <v>0</v>
      </c>
      <c r="J971" s="34"/>
    </row>
    <row r="972" spans="1:10" ht="25.5" x14ac:dyDescent="0.25">
      <c r="A972" s="51" t="s">
        <v>1917</v>
      </c>
      <c r="B972" s="28">
        <v>3000016517</v>
      </c>
      <c r="C972" s="42" t="s">
        <v>1918</v>
      </c>
      <c r="D972" s="30" t="s">
        <v>129</v>
      </c>
      <c r="E972" s="31"/>
      <c r="F972" s="32">
        <v>141.97999999999999</v>
      </c>
      <c r="G972" s="33">
        <f t="shared" si="80"/>
        <v>0</v>
      </c>
      <c r="H972" s="33">
        <f>ROUND('[1]RESUMO DA PROPOSTA'!$C$25*F972,2)</f>
        <v>220.07</v>
      </c>
      <c r="I972" s="33">
        <f t="shared" si="81"/>
        <v>0</v>
      </c>
      <c r="J972" s="34"/>
    </row>
    <row r="973" spans="1:10" ht="25.5" x14ac:dyDescent="0.25">
      <c r="A973" s="51" t="s">
        <v>1919</v>
      </c>
      <c r="B973" s="28">
        <v>3000016519</v>
      </c>
      <c r="C973" s="42" t="s">
        <v>1920</v>
      </c>
      <c r="D973" s="30" t="s">
        <v>129</v>
      </c>
      <c r="E973" s="31"/>
      <c r="F973" s="32">
        <v>106.49</v>
      </c>
      <c r="G973" s="33">
        <f t="shared" si="80"/>
        <v>0</v>
      </c>
      <c r="H973" s="33">
        <f>ROUND('[1]RESUMO DA PROPOSTA'!$C$25*F973,2)</f>
        <v>165.06</v>
      </c>
      <c r="I973" s="33">
        <f t="shared" si="81"/>
        <v>0</v>
      </c>
      <c r="J973" s="34"/>
    </row>
    <row r="974" spans="1:10" x14ac:dyDescent="0.25">
      <c r="A974" s="51" t="s">
        <v>1921</v>
      </c>
      <c r="B974" s="28">
        <v>3000016527</v>
      </c>
      <c r="C974" s="42" t="s">
        <v>1922</v>
      </c>
      <c r="D974" s="30" t="s">
        <v>29</v>
      </c>
      <c r="E974" s="31"/>
      <c r="F974" s="32">
        <v>1587.19</v>
      </c>
      <c r="G974" s="33">
        <f t="shared" si="80"/>
        <v>0</v>
      </c>
      <c r="H974" s="33">
        <f>ROUND('[1]RESUMO DA PROPOSTA'!$C$25*F974,2)</f>
        <v>2460.14</v>
      </c>
      <c r="I974" s="33">
        <f t="shared" si="81"/>
        <v>0</v>
      </c>
      <c r="J974" s="34"/>
    </row>
    <row r="975" spans="1:10" ht="25.5" x14ac:dyDescent="0.25">
      <c r="A975" s="51" t="s">
        <v>1923</v>
      </c>
      <c r="B975" s="28">
        <v>3000016541</v>
      </c>
      <c r="C975" s="42" t="s">
        <v>1924</v>
      </c>
      <c r="D975" s="30" t="s">
        <v>29</v>
      </c>
      <c r="E975" s="31"/>
      <c r="F975" s="32">
        <v>881.77</v>
      </c>
      <c r="G975" s="33">
        <f t="shared" si="80"/>
        <v>0</v>
      </c>
      <c r="H975" s="33">
        <f>ROUND('[1]RESUMO DA PROPOSTA'!$C$25*F975,2)</f>
        <v>1366.74</v>
      </c>
      <c r="I975" s="33">
        <f t="shared" si="81"/>
        <v>0</v>
      </c>
      <c r="J975" s="34"/>
    </row>
    <row r="976" spans="1:10" x14ac:dyDescent="0.25">
      <c r="A976" s="51" t="s">
        <v>1925</v>
      </c>
      <c r="B976" s="28">
        <v>3000016543</v>
      </c>
      <c r="C976" s="42" t="s">
        <v>1926</v>
      </c>
      <c r="D976" s="30" t="s">
        <v>29</v>
      </c>
      <c r="E976" s="31"/>
      <c r="F976" s="32">
        <v>354.97</v>
      </c>
      <c r="G976" s="33">
        <f t="shared" si="80"/>
        <v>0</v>
      </c>
      <c r="H976" s="33">
        <f>ROUND('[1]RESUMO DA PROPOSTA'!$C$25*F976,2)</f>
        <v>550.20000000000005</v>
      </c>
      <c r="I976" s="33">
        <f t="shared" si="81"/>
        <v>0</v>
      </c>
      <c r="J976" s="34"/>
    </row>
    <row r="977" spans="1:10" ht="25.5" x14ac:dyDescent="0.25">
      <c r="A977" s="51" t="s">
        <v>1927</v>
      </c>
      <c r="B977" s="28">
        <v>3000016548</v>
      </c>
      <c r="C977" s="42" t="s">
        <v>1928</v>
      </c>
      <c r="D977" s="30" t="s">
        <v>29</v>
      </c>
      <c r="E977" s="31"/>
      <c r="F977" s="32">
        <v>709.93</v>
      </c>
      <c r="G977" s="33">
        <f t="shared" si="80"/>
        <v>0</v>
      </c>
      <c r="H977" s="33">
        <f>ROUND('[1]RESUMO DA PROPOSTA'!$C$25*F977,2)</f>
        <v>1100.3900000000001</v>
      </c>
      <c r="I977" s="33">
        <f t="shared" si="81"/>
        <v>0</v>
      </c>
      <c r="J977" s="34"/>
    </row>
    <row r="978" spans="1:10" x14ac:dyDescent="0.25">
      <c r="A978" s="51" t="s">
        <v>1929</v>
      </c>
      <c r="B978" s="28">
        <v>3000016550</v>
      </c>
      <c r="C978" s="42" t="s">
        <v>1930</v>
      </c>
      <c r="D978" s="30" t="s">
        <v>29</v>
      </c>
      <c r="E978" s="31"/>
      <c r="F978" s="32">
        <v>969.93</v>
      </c>
      <c r="G978" s="33">
        <f t="shared" si="80"/>
        <v>0</v>
      </c>
      <c r="H978" s="33">
        <f>ROUND('[1]RESUMO DA PROPOSTA'!$C$25*F978,2)</f>
        <v>1503.39</v>
      </c>
      <c r="I978" s="33">
        <f t="shared" si="81"/>
        <v>0</v>
      </c>
      <c r="J978" s="34"/>
    </row>
    <row r="979" spans="1:10" ht="25.5" x14ac:dyDescent="0.25">
      <c r="A979" s="51" t="s">
        <v>1931</v>
      </c>
      <c r="B979" s="28">
        <v>3000016554</v>
      </c>
      <c r="C979" s="42" t="s">
        <v>1932</v>
      </c>
      <c r="D979" s="30" t="s">
        <v>1909</v>
      </c>
      <c r="E979" s="31"/>
      <c r="F979" s="32">
        <v>2380.77</v>
      </c>
      <c r="G979" s="33">
        <f t="shared" si="80"/>
        <v>0</v>
      </c>
      <c r="H979" s="33">
        <f>ROUND('[1]RESUMO DA PROPOSTA'!$C$25*F979,2)</f>
        <v>3690.19</v>
      </c>
      <c r="I979" s="33">
        <f t="shared" si="81"/>
        <v>0</v>
      </c>
      <c r="J979" s="34"/>
    </row>
    <row r="980" spans="1:10" ht="25.5" x14ac:dyDescent="0.25">
      <c r="A980" s="51" t="s">
        <v>1933</v>
      </c>
      <c r="B980" s="28">
        <v>3000016558</v>
      </c>
      <c r="C980" s="42" t="s">
        <v>1934</v>
      </c>
      <c r="D980" s="30" t="s">
        <v>1909</v>
      </c>
      <c r="E980" s="31"/>
      <c r="F980" s="32">
        <v>1763.52</v>
      </c>
      <c r="G980" s="33">
        <f t="shared" si="80"/>
        <v>0</v>
      </c>
      <c r="H980" s="33">
        <f>ROUND('[1]RESUMO DA PROPOSTA'!$C$25*F980,2)</f>
        <v>2733.46</v>
      </c>
      <c r="I980" s="33">
        <f t="shared" si="81"/>
        <v>0</v>
      </c>
      <c r="J980" s="34"/>
    </row>
    <row r="981" spans="1:10" x14ac:dyDescent="0.25">
      <c r="A981" s="51" t="s">
        <v>1935</v>
      </c>
      <c r="B981" s="28">
        <v>3000016570</v>
      </c>
      <c r="C981" s="42" t="s">
        <v>1936</v>
      </c>
      <c r="D981" s="30" t="s">
        <v>29</v>
      </c>
      <c r="E981" s="31"/>
      <c r="F981" s="32">
        <v>1763.52</v>
      </c>
      <c r="G981" s="33">
        <f t="shared" si="80"/>
        <v>0</v>
      </c>
      <c r="H981" s="33">
        <f>ROUND('[1]RESUMO DA PROPOSTA'!$C$25*F981,2)</f>
        <v>2733.46</v>
      </c>
      <c r="I981" s="33">
        <f t="shared" si="81"/>
        <v>0</v>
      </c>
      <c r="J981" s="34"/>
    </row>
    <row r="982" spans="1:10" x14ac:dyDescent="0.25">
      <c r="A982" s="51" t="s">
        <v>1937</v>
      </c>
      <c r="B982" s="28">
        <v>3000016571</v>
      </c>
      <c r="C982" s="42" t="s">
        <v>1938</v>
      </c>
      <c r="D982" s="30" t="s">
        <v>29</v>
      </c>
      <c r="E982" s="31"/>
      <c r="F982" s="32">
        <v>1591.7</v>
      </c>
      <c r="G982" s="33">
        <f t="shared" si="80"/>
        <v>0</v>
      </c>
      <c r="H982" s="33">
        <f>ROUND('[1]RESUMO DA PROPOSTA'!$C$25*F982,2)</f>
        <v>2467.14</v>
      </c>
      <c r="I982" s="33">
        <f t="shared" si="81"/>
        <v>0</v>
      </c>
      <c r="J982" s="34"/>
    </row>
    <row r="983" spans="1:10" x14ac:dyDescent="0.25">
      <c r="A983" s="51" t="s">
        <v>1939</v>
      </c>
      <c r="B983" s="28">
        <v>3000016576</v>
      </c>
      <c r="C983" s="42" t="s">
        <v>1940</v>
      </c>
      <c r="D983" s="30" t="s">
        <v>120</v>
      </c>
      <c r="E983" s="31"/>
      <c r="F983" s="32">
        <v>71.010000000000005</v>
      </c>
      <c r="G983" s="33">
        <f t="shared" si="80"/>
        <v>0</v>
      </c>
      <c r="H983" s="33">
        <f>ROUND('[1]RESUMO DA PROPOSTA'!$C$25*F983,2)</f>
        <v>110.07</v>
      </c>
      <c r="I983" s="33">
        <f t="shared" si="81"/>
        <v>0</v>
      </c>
      <c r="J983" s="34"/>
    </row>
    <row r="984" spans="1:10" ht="25.5" x14ac:dyDescent="0.25">
      <c r="A984" s="51" t="s">
        <v>1941</v>
      </c>
      <c r="B984" s="28">
        <v>3000016605</v>
      </c>
      <c r="C984" s="42" t="s">
        <v>1942</v>
      </c>
      <c r="D984" s="30" t="s">
        <v>463</v>
      </c>
      <c r="E984" s="31"/>
      <c r="F984" s="32">
        <v>80.12</v>
      </c>
      <c r="G984" s="33">
        <f t="shared" si="80"/>
        <v>0</v>
      </c>
      <c r="H984" s="33">
        <f>ROUND('[1]RESUMO DA PROPOSTA'!$C$25*F984,2)</f>
        <v>124.19</v>
      </c>
      <c r="I984" s="33">
        <f t="shared" si="81"/>
        <v>0</v>
      </c>
      <c r="J984" s="34"/>
    </row>
    <row r="985" spans="1:10" ht="25.5" x14ac:dyDescent="0.25">
      <c r="A985" s="51" t="s">
        <v>1943</v>
      </c>
      <c r="B985" s="28">
        <v>3000016606</v>
      </c>
      <c r="C985" s="42" t="s">
        <v>1944</v>
      </c>
      <c r="D985" s="30" t="s">
        <v>463</v>
      </c>
      <c r="E985" s="31"/>
      <c r="F985" s="32">
        <v>63.68</v>
      </c>
      <c r="G985" s="33">
        <f t="shared" si="80"/>
        <v>0</v>
      </c>
      <c r="H985" s="33">
        <f>ROUND('[1]RESUMO DA PROPOSTA'!$C$25*F985,2)</f>
        <v>98.7</v>
      </c>
      <c r="I985" s="33">
        <f t="shared" si="81"/>
        <v>0</v>
      </c>
      <c r="J985" s="34"/>
    </row>
    <row r="986" spans="1:10" x14ac:dyDescent="0.25">
      <c r="A986" s="51" t="s">
        <v>1945</v>
      </c>
      <c r="B986" s="28">
        <v>3000016625</v>
      </c>
      <c r="C986" s="42" t="s">
        <v>1946</v>
      </c>
      <c r="D986" s="30" t="s">
        <v>20</v>
      </c>
      <c r="E986" s="31"/>
      <c r="F986" s="32">
        <v>5555.11</v>
      </c>
      <c r="G986" s="33">
        <f t="shared" si="80"/>
        <v>0</v>
      </c>
      <c r="H986" s="33">
        <f>ROUND('[1]RESUMO DA PROPOSTA'!$C$25*F986,2)</f>
        <v>8610.42</v>
      </c>
      <c r="I986" s="33">
        <f t="shared" si="81"/>
        <v>0</v>
      </c>
      <c r="J986" s="34"/>
    </row>
    <row r="987" spans="1:10" x14ac:dyDescent="0.25">
      <c r="A987" s="51" t="s">
        <v>1947</v>
      </c>
      <c r="B987" s="28">
        <v>3000016626</v>
      </c>
      <c r="C987" s="42" t="s">
        <v>1948</v>
      </c>
      <c r="D987" s="30" t="s">
        <v>20</v>
      </c>
      <c r="E987" s="31"/>
      <c r="F987" s="32">
        <v>4408.83</v>
      </c>
      <c r="G987" s="33">
        <f t="shared" si="80"/>
        <v>0</v>
      </c>
      <c r="H987" s="33">
        <f>ROUND('[1]RESUMO DA PROPOSTA'!$C$25*F987,2)</f>
        <v>6833.69</v>
      </c>
      <c r="I987" s="33">
        <f t="shared" si="81"/>
        <v>0</v>
      </c>
      <c r="J987" s="34"/>
    </row>
    <row r="988" spans="1:10" ht="25.5" x14ac:dyDescent="0.25">
      <c r="A988" s="51" t="s">
        <v>1949</v>
      </c>
      <c r="B988" s="28">
        <v>3000016627</v>
      </c>
      <c r="C988" s="42" t="s">
        <v>1950</v>
      </c>
      <c r="D988" s="30" t="s">
        <v>254</v>
      </c>
      <c r="E988" s="31"/>
      <c r="F988" s="32">
        <v>7054.1</v>
      </c>
      <c r="G988" s="33">
        <f t="shared" si="80"/>
        <v>0</v>
      </c>
      <c r="H988" s="33">
        <f>ROUND('[1]RESUMO DA PROPOSTA'!$C$25*F988,2)</f>
        <v>10933.86</v>
      </c>
      <c r="I988" s="33">
        <f t="shared" si="81"/>
        <v>0</v>
      </c>
      <c r="J988" s="34"/>
    </row>
    <row r="989" spans="1:10" x14ac:dyDescent="0.25">
      <c r="A989" s="51" t="s">
        <v>1951</v>
      </c>
      <c r="B989" s="28">
        <v>3000016632</v>
      </c>
      <c r="C989" s="42" t="s">
        <v>1952</v>
      </c>
      <c r="D989" s="30" t="s">
        <v>1953</v>
      </c>
      <c r="E989" s="31"/>
      <c r="F989" s="32">
        <v>4969.63</v>
      </c>
      <c r="G989" s="33">
        <f t="shared" si="80"/>
        <v>0</v>
      </c>
      <c r="H989" s="33">
        <f>ROUND('[1]RESUMO DA PROPOSTA'!$C$25*F989,2)</f>
        <v>7702.93</v>
      </c>
      <c r="I989" s="33">
        <f t="shared" si="81"/>
        <v>0</v>
      </c>
      <c r="J989" s="34"/>
    </row>
    <row r="990" spans="1:10" x14ac:dyDescent="0.25">
      <c r="A990" s="51" t="s">
        <v>1954</v>
      </c>
      <c r="B990" s="28">
        <v>3000016635</v>
      </c>
      <c r="C990" s="42" t="s">
        <v>1955</v>
      </c>
      <c r="D990" s="30" t="s">
        <v>1956</v>
      </c>
      <c r="E990" s="31"/>
      <c r="F990" s="32">
        <v>881.77</v>
      </c>
      <c r="G990" s="33">
        <f t="shared" si="80"/>
        <v>0</v>
      </c>
      <c r="H990" s="33">
        <f>ROUND('[1]RESUMO DA PROPOSTA'!$C$25*F990,2)</f>
        <v>1366.74</v>
      </c>
      <c r="I990" s="33">
        <f t="shared" si="81"/>
        <v>0</v>
      </c>
      <c r="J990" s="34"/>
    </row>
    <row r="991" spans="1:10" x14ac:dyDescent="0.25">
      <c r="A991" s="51" t="s">
        <v>1957</v>
      </c>
      <c r="B991" s="28">
        <v>5000011524</v>
      </c>
      <c r="C991" s="42" t="s">
        <v>1958</v>
      </c>
      <c r="D991" s="30" t="s">
        <v>254</v>
      </c>
      <c r="E991" s="31"/>
      <c r="F991" s="32">
        <v>3194.77</v>
      </c>
      <c r="G991" s="33">
        <f t="shared" si="80"/>
        <v>0</v>
      </c>
      <c r="H991" s="33">
        <f>ROUND('[1]RESUMO DA PROPOSTA'!$C$25*F991,2)</f>
        <v>4951.8900000000003</v>
      </c>
      <c r="I991" s="33">
        <f t="shared" si="81"/>
        <v>0</v>
      </c>
      <c r="J991" s="34"/>
    </row>
    <row r="992" spans="1:10" x14ac:dyDescent="0.25">
      <c r="A992" s="51" t="s">
        <v>1959</v>
      </c>
      <c r="B992" s="28">
        <v>5000011525</v>
      </c>
      <c r="C992" s="42" t="s">
        <v>1960</v>
      </c>
      <c r="D992" s="30" t="s">
        <v>254</v>
      </c>
      <c r="E992" s="31"/>
      <c r="F992" s="32">
        <v>5951.92</v>
      </c>
      <c r="G992" s="33">
        <f t="shared" si="80"/>
        <v>0</v>
      </c>
      <c r="H992" s="33">
        <f>ROUND('[1]RESUMO DA PROPOSTA'!$C$25*F992,2)</f>
        <v>9225.48</v>
      </c>
      <c r="I992" s="33">
        <f t="shared" si="81"/>
        <v>0</v>
      </c>
      <c r="J992" s="34"/>
    </row>
    <row r="993" spans="1:10" x14ac:dyDescent="0.25">
      <c r="A993" s="51" t="s">
        <v>1961</v>
      </c>
      <c r="B993" s="28">
        <v>5000011526</v>
      </c>
      <c r="C993" s="42" t="s">
        <v>1962</v>
      </c>
      <c r="D993" s="30" t="s">
        <v>254</v>
      </c>
      <c r="E993" s="31"/>
      <c r="F993" s="32">
        <v>4629.2700000000004</v>
      </c>
      <c r="G993" s="33">
        <f t="shared" si="80"/>
        <v>0</v>
      </c>
      <c r="H993" s="33">
        <f>ROUND('[1]RESUMO DA PROPOSTA'!$C$25*F993,2)</f>
        <v>7175.37</v>
      </c>
      <c r="I993" s="33">
        <f t="shared" si="81"/>
        <v>0</v>
      </c>
      <c r="J993" s="34"/>
    </row>
    <row r="994" spans="1:10" x14ac:dyDescent="0.25">
      <c r="A994" s="51" t="s">
        <v>1963</v>
      </c>
      <c r="B994" s="28">
        <v>5000011527</v>
      </c>
      <c r="C994" s="42" t="s">
        <v>1964</v>
      </c>
      <c r="D994" s="30" t="s">
        <v>1909</v>
      </c>
      <c r="E994" s="31"/>
      <c r="F994" s="32">
        <v>2116.2199999999998</v>
      </c>
      <c r="G994" s="33">
        <f t="shared" si="80"/>
        <v>0</v>
      </c>
      <c r="H994" s="33">
        <f>ROUND('[1]RESUMO DA PROPOSTA'!$C$25*F994,2)</f>
        <v>3280.14</v>
      </c>
      <c r="I994" s="33">
        <f t="shared" si="81"/>
        <v>0</v>
      </c>
      <c r="J994" s="34"/>
    </row>
    <row r="995" spans="1:10" x14ac:dyDescent="0.25">
      <c r="A995" s="51" t="s">
        <v>1965</v>
      </c>
      <c r="B995" s="28">
        <v>5000011528</v>
      </c>
      <c r="C995" s="42" t="s">
        <v>1966</v>
      </c>
      <c r="D995" s="30" t="s">
        <v>254</v>
      </c>
      <c r="E995" s="31"/>
      <c r="F995" s="32">
        <v>4408.8</v>
      </c>
      <c r="G995" s="33">
        <f t="shared" si="80"/>
        <v>0</v>
      </c>
      <c r="H995" s="33">
        <f>ROUND('[1]RESUMO DA PROPOSTA'!$C$25*F995,2)</f>
        <v>6833.64</v>
      </c>
      <c r="I995" s="33">
        <f t="shared" si="81"/>
        <v>0</v>
      </c>
      <c r="J995" s="34"/>
    </row>
    <row r="996" spans="1:10" x14ac:dyDescent="0.25">
      <c r="A996" s="51" t="s">
        <v>1967</v>
      </c>
      <c r="B996" s="28">
        <v>5000011529</v>
      </c>
      <c r="C996" s="42" t="s">
        <v>1968</v>
      </c>
      <c r="D996" s="30" t="s">
        <v>254</v>
      </c>
      <c r="E996" s="31"/>
      <c r="F996" s="32">
        <v>4761.51</v>
      </c>
      <c r="G996" s="33">
        <f t="shared" si="80"/>
        <v>0</v>
      </c>
      <c r="H996" s="33">
        <f>ROUND('[1]RESUMO DA PROPOSTA'!$C$25*F996,2)</f>
        <v>7380.34</v>
      </c>
      <c r="I996" s="33">
        <f t="shared" si="81"/>
        <v>0</v>
      </c>
      <c r="J996" s="34"/>
    </row>
    <row r="997" spans="1:10" x14ac:dyDescent="0.25">
      <c r="A997" s="51" t="s">
        <v>1969</v>
      </c>
      <c r="B997" s="28">
        <v>5000011530</v>
      </c>
      <c r="C997" s="42" t="s">
        <v>1970</v>
      </c>
      <c r="D997" s="30" t="s">
        <v>1909</v>
      </c>
      <c r="E997" s="31"/>
      <c r="F997" s="32">
        <v>1798.81</v>
      </c>
      <c r="G997" s="33">
        <f t="shared" si="80"/>
        <v>0</v>
      </c>
      <c r="H997" s="33">
        <f>ROUND('[1]RESUMO DA PROPOSTA'!$C$25*F997,2)</f>
        <v>2788.16</v>
      </c>
      <c r="I997" s="33">
        <f t="shared" si="81"/>
        <v>0</v>
      </c>
      <c r="J997" s="34"/>
    </row>
    <row r="998" spans="1:10" x14ac:dyDescent="0.25">
      <c r="A998" s="51" t="s">
        <v>1971</v>
      </c>
      <c r="B998" s="28">
        <v>5000011531</v>
      </c>
      <c r="C998" s="42" t="s">
        <v>1972</v>
      </c>
      <c r="D998" s="30" t="s">
        <v>254</v>
      </c>
      <c r="E998" s="31"/>
      <c r="F998" s="32">
        <v>3747.52</v>
      </c>
      <c r="G998" s="33">
        <f t="shared" si="80"/>
        <v>0</v>
      </c>
      <c r="H998" s="33">
        <f>ROUND('[1]RESUMO DA PROPOSTA'!$C$25*F998,2)</f>
        <v>5808.66</v>
      </c>
      <c r="I998" s="33">
        <f t="shared" si="81"/>
        <v>0</v>
      </c>
      <c r="J998" s="34"/>
    </row>
    <row r="999" spans="1:10" x14ac:dyDescent="0.25">
      <c r="A999" s="51" t="s">
        <v>1973</v>
      </c>
      <c r="B999" s="28">
        <v>5000011532</v>
      </c>
      <c r="C999" s="42" t="s">
        <v>1974</v>
      </c>
      <c r="D999" s="30" t="s">
        <v>1909</v>
      </c>
      <c r="E999" s="31"/>
      <c r="F999" s="32">
        <v>5968.95</v>
      </c>
      <c r="G999" s="33">
        <f t="shared" si="80"/>
        <v>0</v>
      </c>
      <c r="H999" s="33">
        <f>ROUND('[1]RESUMO DA PROPOSTA'!$C$25*F999,2)</f>
        <v>9251.8700000000008</v>
      </c>
      <c r="I999" s="33">
        <f t="shared" si="81"/>
        <v>0</v>
      </c>
      <c r="J999" s="34"/>
    </row>
    <row r="1000" spans="1:10" x14ac:dyDescent="0.25">
      <c r="A1000" s="51" t="s">
        <v>1975</v>
      </c>
      <c r="B1000" s="28">
        <v>5000011533</v>
      </c>
      <c r="C1000" s="42" t="s">
        <v>1976</v>
      </c>
      <c r="D1000" s="30" t="s">
        <v>1909</v>
      </c>
      <c r="E1000" s="31"/>
      <c r="F1000" s="32">
        <v>636.67999999999995</v>
      </c>
      <c r="G1000" s="33">
        <f t="shared" si="80"/>
        <v>0</v>
      </c>
      <c r="H1000" s="33">
        <f>ROUND('[1]RESUMO DA PROPOSTA'!$C$25*F1000,2)</f>
        <v>986.85</v>
      </c>
      <c r="I1000" s="33">
        <f t="shared" si="81"/>
        <v>0</v>
      </c>
      <c r="J1000" s="34"/>
    </row>
    <row r="1001" spans="1:10" x14ac:dyDescent="0.25">
      <c r="A1001" s="51" t="s">
        <v>1977</v>
      </c>
      <c r="B1001" s="28">
        <v>5000011534</v>
      </c>
      <c r="C1001" s="42" t="s">
        <v>1978</v>
      </c>
      <c r="D1001" s="30" t="s">
        <v>254</v>
      </c>
      <c r="E1001" s="31"/>
      <c r="F1001" s="32">
        <v>4047.33</v>
      </c>
      <c r="G1001" s="33">
        <f t="shared" si="80"/>
        <v>0</v>
      </c>
      <c r="H1001" s="33">
        <f>ROUND('[1]RESUMO DA PROPOSTA'!$C$25*F1001,2)</f>
        <v>6273.36</v>
      </c>
      <c r="I1001" s="33">
        <f t="shared" si="81"/>
        <v>0</v>
      </c>
      <c r="J1001" s="34"/>
    </row>
    <row r="1002" spans="1:10" x14ac:dyDescent="0.25">
      <c r="A1002" s="51" t="s">
        <v>1979</v>
      </c>
      <c r="B1002" s="28">
        <v>5000011535</v>
      </c>
      <c r="C1002" s="42" t="s">
        <v>1980</v>
      </c>
      <c r="D1002" s="30" t="s">
        <v>29</v>
      </c>
      <c r="E1002" s="31"/>
      <c r="F1002" s="32">
        <v>675.45</v>
      </c>
      <c r="G1002" s="33">
        <f t="shared" si="80"/>
        <v>0</v>
      </c>
      <c r="H1002" s="33">
        <f>ROUND('[1]RESUMO DA PROPOSTA'!$C$25*F1002,2)</f>
        <v>1046.95</v>
      </c>
      <c r="I1002" s="33">
        <f t="shared" si="81"/>
        <v>0</v>
      </c>
      <c r="J1002" s="34"/>
    </row>
    <row r="1003" spans="1:10" x14ac:dyDescent="0.25">
      <c r="A1003" s="51" t="s">
        <v>1981</v>
      </c>
      <c r="B1003" s="28">
        <v>5000011536</v>
      </c>
      <c r="C1003" s="42" t="s">
        <v>1982</v>
      </c>
      <c r="D1003" s="30" t="s">
        <v>29</v>
      </c>
      <c r="E1003" s="31"/>
      <c r="F1003" s="32">
        <v>274.8</v>
      </c>
      <c r="G1003" s="33">
        <f t="shared" si="80"/>
        <v>0</v>
      </c>
      <c r="H1003" s="33">
        <f>ROUND('[1]RESUMO DA PROPOSTA'!$C$25*F1003,2)</f>
        <v>425.94</v>
      </c>
      <c r="I1003" s="33">
        <f t="shared" si="81"/>
        <v>0</v>
      </c>
      <c r="J1003" s="34"/>
    </row>
    <row r="1004" spans="1:10" x14ac:dyDescent="0.25">
      <c r="A1004" s="51" t="s">
        <v>1983</v>
      </c>
      <c r="B1004" s="28">
        <v>5000011537</v>
      </c>
      <c r="C1004" s="42" t="s">
        <v>1984</v>
      </c>
      <c r="D1004" s="30" t="s">
        <v>29</v>
      </c>
      <c r="E1004" s="31"/>
      <c r="F1004" s="32">
        <v>675.45</v>
      </c>
      <c r="G1004" s="33">
        <f t="shared" si="80"/>
        <v>0</v>
      </c>
      <c r="H1004" s="33">
        <f>ROUND('[1]RESUMO DA PROPOSTA'!$C$25*F1004,2)</f>
        <v>1046.95</v>
      </c>
      <c r="I1004" s="33">
        <f t="shared" si="81"/>
        <v>0</v>
      </c>
      <c r="J1004" s="34"/>
    </row>
    <row r="1005" spans="1:10" x14ac:dyDescent="0.25">
      <c r="A1005" s="51" t="s">
        <v>1985</v>
      </c>
      <c r="B1005" s="28">
        <v>5000011538</v>
      </c>
      <c r="C1005" s="42" t="s">
        <v>1986</v>
      </c>
      <c r="D1005" s="30" t="s">
        <v>29</v>
      </c>
      <c r="E1005" s="31"/>
      <c r="F1005" s="32">
        <v>270.18</v>
      </c>
      <c r="G1005" s="33">
        <f t="shared" si="80"/>
        <v>0</v>
      </c>
      <c r="H1005" s="33">
        <f>ROUND('[1]RESUMO DA PROPOSTA'!$C$25*F1005,2)</f>
        <v>418.78</v>
      </c>
      <c r="I1005" s="33">
        <f t="shared" si="81"/>
        <v>0</v>
      </c>
      <c r="J1005" s="34"/>
    </row>
    <row r="1006" spans="1:10" ht="15.75" x14ac:dyDescent="0.25">
      <c r="A1006" s="18" t="s">
        <v>1987</v>
      </c>
      <c r="B1006" s="19"/>
      <c r="C1006" s="20" t="s">
        <v>1988</v>
      </c>
      <c r="D1006" s="21"/>
      <c r="E1006" s="40"/>
      <c r="F1006" s="23" t="s">
        <v>17</v>
      </c>
      <c r="G1006" s="24">
        <f>SUBTOTAL(9,G1007:G1007)</f>
        <v>0</v>
      </c>
      <c r="H1006" s="25" t="s">
        <v>17</v>
      </c>
      <c r="I1006" s="24">
        <f>SUBTOTAL(9,I1007:I1007)</f>
        <v>0</v>
      </c>
      <c r="J1006" s="26"/>
    </row>
    <row r="1007" spans="1:10" x14ac:dyDescent="0.25">
      <c r="A1007" s="51" t="s">
        <v>1989</v>
      </c>
      <c r="B1007" s="28">
        <v>3000016312</v>
      </c>
      <c r="C1007" s="42" t="s">
        <v>1990</v>
      </c>
      <c r="D1007" s="35" t="s">
        <v>254</v>
      </c>
      <c r="E1007" s="31"/>
      <c r="F1007" s="32">
        <v>1</v>
      </c>
      <c r="G1007" s="33">
        <f>ROUND(E1007*F1007,2)</f>
        <v>0</v>
      </c>
      <c r="H1007" s="33">
        <f>ROUND('[1]RESUMO DA PROPOSTA'!$C$26*F1007,2)</f>
        <v>1.6</v>
      </c>
      <c r="I1007" s="33">
        <f>ROUND(E1007*H1007,2)</f>
        <v>0</v>
      </c>
      <c r="J1007" s="34"/>
    </row>
  </sheetData>
  <conditionalFormatting sqref="B490:B662">
    <cfRule type="duplicateValues" dxfId="14" priority="2"/>
  </conditionalFormatting>
  <conditionalFormatting sqref="D835:J835">
    <cfRule type="cellIs" dxfId="13" priority="1" operator="equal">
      <formula>"?"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0"/>
  <sheetViews>
    <sheetView tabSelected="1" zoomScaleNormal="100" workbookViewId="0">
      <pane ySplit="3" topLeftCell="A4" activePane="bottomLeft" state="frozen"/>
      <selection pane="bottomLeft" activeCell="A61" sqref="A61"/>
    </sheetView>
  </sheetViews>
  <sheetFormatPr defaultRowHeight="15" outlineLevelCol="1" x14ac:dyDescent="0.25"/>
  <cols>
    <col min="1" max="1" width="12.140625" bestFit="1" customWidth="1"/>
    <col min="2" max="2" width="47.42578125" customWidth="1"/>
    <col min="3" max="3" width="10.7109375" bestFit="1" customWidth="1"/>
    <col min="4" max="4" width="13.5703125" bestFit="1" customWidth="1"/>
    <col min="5" max="5" width="12.42578125" style="102" bestFit="1" customWidth="1"/>
    <col min="6" max="6" width="19.28515625" bestFit="1" customWidth="1"/>
    <col min="7" max="7" width="9.85546875" style="102" hidden="1" customWidth="1" outlineLevel="1"/>
    <col min="8" max="8" width="15.140625" style="107" hidden="1" customWidth="1" outlineLevel="1"/>
    <col min="9" max="9" width="9" style="102" hidden="1" customWidth="1" outlineLevel="1"/>
    <col min="10" max="10" width="12.140625" hidden="1" customWidth="1" outlineLevel="1"/>
    <col min="11" max="11" width="9" style="102" bestFit="1" customWidth="1" outlineLevel="1"/>
    <col min="12" max="12" width="12.42578125" bestFit="1" customWidth="1" outlineLevel="1"/>
    <col min="13" max="13" width="9" style="102" customWidth="1" outlineLevel="1"/>
    <col min="14" max="14" width="13.5703125" bestFit="1" customWidth="1" outlineLevel="1"/>
    <col min="15" max="15" width="10.5703125" style="102" hidden="1" customWidth="1" outlineLevel="1"/>
    <col min="16" max="16" width="8.140625" hidden="1" customWidth="1" outlineLevel="1"/>
    <col min="17" max="17" width="9.28515625" style="102" hidden="1" customWidth="1" outlineLevel="1"/>
    <col min="18" max="18" width="7.42578125" hidden="1" customWidth="1" outlineLevel="1"/>
    <col min="19" max="19" width="6.85546875" style="102" hidden="1" customWidth="1" outlineLevel="1"/>
    <col min="20" max="20" width="8.42578125" hidden="1" customWidth="1" outlineLevel="1"/>
    <col min="21" max="21" width="8.5703125" style="102" hidden="1" customWidth="1" outlineLevel="1"/>
    <col min="22" max="22" width="12.5703125" hidden="1" customWidth="1" outlineLevel="1"/>
    <col min="23" max="23" width="8.28515625" style="102" hidden="1" customWidth="1" outlineLevel="1"/>
    <col min="24" max="24" width="1" hidden="1" customWidth="1" outlineLevel="1"/>
    <col min="25" max="25" width="11" customWidth="1" outlineLevel="1"/>
    <col min="26" max="26" width="13.28515625" bestFit="1" customWidth="1" outlineLevel="1"/>
    <col min="27" max="27" width="13.5703125" bestFit="1" customWidth="1" outlineLevel="1"/>
    <col min="28" max="28" width="13.28515625" bestFit="1" customWidth="1" outlineLevel="1"/>
  </cols>
  <sheetData>
    <row r="1" spans="1:28" ht="18.75" customHeight="1" x14ac:dyDescent="0.25">
      <c r="A1" s="103"/>
      <c r="B1" s="146" t="s">
        <v>2007</v>
      </c>
      <c r="C1" s="146"/>
      <c r="D1" s="146"/>
      <c r="E1" s="146"/>
      <c r="F1" s="138"/>
      <c r="G1" s="137" t="s">
        <v>1994</v>
      </c>
      <c r="H1" s="138"/>
      <c r="I1" s="137" t="s">
        <v>1995</v>
      </c>
      <c r="J1" s="138"/>
      <c r="K1" s="137" t="s">
        <v>1996</v>
      </c>
      <c r="L1" s="138"/>
      <c r="M1" s="137" t="s">
        <v>1997</v>
      </c>
      <c r="N1" s="138"/>
      <c r="O1" s="137" t="s">
        <v>1998</v>
      </c>
      <c r="P1" s="138"/>
      <c r="Q1" s="137" t="s">
        <v>1999</v>
      </c>
      <c r="R1" s="138"/>
      <c r="S1" s="137" t="s">
        <v>2000</v>
      </c>
      <c r="T1" s="138"/>
      <c r="U1" s="137" t="s">
        <v>2001</v>
      </c>
      <c r="V1" s="138"/>
      <c r="W1" s="137" t="s">
        <v>2002</v>
      </c>
      <c r="X1" s="138"/>
      <c r="Y1" s="137" t="s">
        <v>2003</v>
      </c>
      <c r="Z1" s="138"/>
      <c r="AA1" s="137" t="s">
        <v>2004</v>
      </c>
      <c r="AB1" s="138"/>
    </row>
    <row r="2" spans="1:28" ht="15.75" x14ac:dyDescent="0.25">
      <c r="A2" s="135" t="s">
        <v>2008</v>
      </c>
      <c r="B2" s="136"/>
      <c r="C2" s="136"/>
      <c r="D2" s="136"/>
      <c r="E2" s="136"/>
      <c r="F2" s="109">
        <f>SUM(F5:F60)</f>
        <v>344416.81660000019</v>
      </c>
      <c r="G2" s="142">
        <v>46053</v>
      </c>
      <c r="H2" s="143"/>
      <c r="I2" s="144">
        <v>46112</v>
      </c>
      <c r="J2" s="145"/>
      <c r="K2" s="141">
        <v>46142</v>
      </c>
      <c r="L2" s="140"/>
      <c r="M2" s="141"/>
      <c r="N2" s="140"/>
      <c r="O2" s="141"/>
      <c r="P2" s="140"/>
      <c r="Q2" s="142"/>
      <c r="R2" s="143"/>
      <c r="S2" s="139"/>
      <c r="T2" s="140"/>
      <c r="U2" s="139"/>
      <c r="V2" s="140"/>
      <c r="W2" s="139"/>
      <c r="X2" s="140"/>
      <c r="Y2" s="139"/>
      <c r="Z2" s="140"/>
      <c r="AA2" s="139"/>
      <c r="AB2" s="140"/>
    </row>
    <row r="3" spans="1:28" x14ac:dyDescent="0.25">
      <c r="A3" s="104" t="s">
        <v>3</v>
      </c>
      <c r="B3" s="9" t="s">
        <v>4</v>
      </c>
      <c r="C3" s="9" t="s">
        <v>5</v>
      </c>
      <c r="D3" s="8" t="s">
        <v>1991</v>
      </c>
      <c r="E3" s="101" t="s">
        <v>1992</v>
      </c>
      <c r="F3" s="105" t="s">
        <v>1993</v>
      </c>
      <c r="G3" s="110"/>
      <c r="H3" s="108">
        <f>SUM(H5:H47)</f>
        <v>116842.19080000001</v>
      </c>
      <c r="I3" s="110"/>
      <c r="J3" s="108">
        <f>TRUNC(SUM(J5:J50),2)</f>
        <v>56491.57</v>
      </c>
      <c r="K3" s="110"/>
      <c r="L3" s="108">
        <f>TRUNC(SUM(L5:L50),2)</f>
        <v>79594.929999999993</v>
      </c>
      <c r="M3" s="110"/>
      <c r="N3" s="108">
        <f>TRUNC(SUM(N5:N64),2)</f>
        <v>93231.39</v>
      </c>
      <c r="O3" s="110"/>
      <c r="P3" s="108">
        <f>TRUNC(SUM(P5:P46),2)</f>
        <v>0</v>
      </c>
      <c r="Q3" s="110"/>
      <c r="R3" s="108">
        <f>TRUNC(SUM(R5:R60),2)</f>
        <v>0</v>
      </c>
      <c r="S3" s="110"/>
      <c r="T3" s="108">
        <f>TRUNC(SUM(T5:T46),2)</f>
        <v>0</v>
      </c>
      <c r="U3" s="110"/>
      <c r="V3" s="108">
        <f>TRUNC(SUM(V5:V46),2)</f>
        <v>0</v>
      </c>
      <c r="W3" s="110"/>
      <c r="X3" s="108">
        <f>TRUNC(SUM(X5:X46),2)</f>
        <v>0</v>
      </c>
      <c r="Y3" s="104"/>
      <c r="Z3" s="108">
        <f>TRUNC(SUM(Z5:Z46),2)</f>
        <v>0</v>
      </c>
      <c r="AA3" s="104"/>
      <c r="AB3" s="108">
        <f>TRUNC(SUM(AB5:AB46),2)</f>
        <v>0</v>
      </c>
    </row>
    <row r="4" spans="1:28" s="119" customFormat="1" x14ac:dyDescent="0.25">
      <c r="A4" s="120"/>
      <c r="B4" s="121" t="s">
        <v>2006</v>
      </c>
      <c r="C4" s="122"/>
      <c r="D4" s="123"/>
      <c r="E4" s="124"/>
      <c r="F4" s="125"/>
      <c r="G4" s="126"/>
      <c r="H4" s="127"/>
      <c r="I4" s="126"/>
      <c r="J4" s="127"/>
      <c r="K4" s="126"/>
      <c r="L4" s="127"/>
      <c r="M4" s="126"/>
      <c r="N4" s="127"/>
      <c r="O4" s="126"/>
      <c r="P4" s="127"/>
      <c r="Q4" s="126"/>
      <c r="R4" s="127"/>
      <c r="S4" s="126"/>
      <c r="T4" s="127"/>
      <c r="U4" s="126"/>
      <c r="V4" s="127"/>
      <c r="W4" s="126"/>
      <c r="X4" s="127"/>
      <c r="Y4" s="120"/>
      <c r="Z4" s="127"/>
      <c r="AA4" s="120"/>
      <c r="AB4" s="127"/>
    </row>
    <row r="5" spans="1:28" x14ac:dyDescent="0.25">
      <c r="A5" s="28">
        <v>5000011120</v>
      </c>
      <c r="B5" s="112" t="str">
        <f>IFERROR(VLOOKUP(A5,LPU!$B$7:$H$1007,2,FALSE),"")</f>
        <v>DESMOB. SER. MÉD. PORTE DUR. &gt;60 E &lt;120D</v>
      </c>
      <c r="C5" s="113" t="str">
        <f>IFERROR(VLOOKUP(A5,LPU!$B$7:H1007,3,FALSE),"")</f>
        <v>VB</v>
      </c>
      <c r="D5" s="114">
        <f>IFERROR(VLOOKUP(A5,LPU!B7:$H$1007,7,FALSE),"")</f>
        <v>5826.63</v>
      </c>
      <c r="E5" s="34">
        <v>1</v>
      </c>
      <c r="F5" s="115">
        <f t="shared" ref="F5:F38" si="0">IFERROR(E5*D5,"")</f>
        <v>5826.63</v>
      </c>
      <c r="G5" s="106"/>
      <c r="H5" s="116" t="str">
        <f>IF(G5&gt;0,G5*D5,"")</f>
        <v/>
      </c>
      <c r="I5" s="106"/>
      <c r="J5" s="116" t="str">
        <f t="shared" ref="J5" si="1">IF(I5&gt;0,I5*$D5,"")</f>
        <v/>
      </c>
      <c r="K5" s="130"/>
      <c r="L5" s="116" t="str">
        <f t="shared" ref="L5:L50" si="2">IF(K5&gt;0,K5*$D5,"")</f>
        <v/>
      </c>
      <c r="M5" s="117"/>
      <c r="N5" s="116" t="str">
        <f t="shared" ref="N5:N60" si="3">IF(M5&gt;0,M5*$D5,"")</f>
        <v/>
      </c>
      <c r="O5" s="117"/>
      <c r="P5" s="116" t="str">
        <f t="shared" ref="P5" si="4">IF(O5&gt;0,O5*$D5,"")</f>
        <v/>
      </c>
      <c r="Q5" s="117"/>
      <c r="R5" s="116" t="str">
        <f t="shared" ref="R5" si="5">IF(Q5&gt;0,Q5*$D5,"")</f>
        <v/>
      </c>
      <c r="S5" s="117"/>
      <c r="T5" s="116" t="str">
        <f t="shared" ref="T5:T20" si="6">IF(S5&gt;0,S5*$D5,"")</f>
        <v/>
      </c>
      <c r="U5" s="117"/>
      <c r="V5" s="116" t="str">
        <f t="shared" ref="V5:V20" si="7">IF(U5&gt;0,U5*$D5,"")</f>
        <v/>
      </c>
      <c r="W5" s="117"/>
      <c r="X5" s="116" t="str">
        <f t="shared" ref="X5:X20" si="8">IF(W5&gt;0,W5*$D5,"")</f>
        <v/>
      </c>
      <c r="Y5" s="117">
        <f t="shared" ref="Y5:Y20" si="9">SUM(G5,I5,K5,M5,O5,Q5,S5,U5,W5)</f>
        <v>0</v>
      </c>
      <c r="Z5" s="116"/>
      <c r="AA5" s="118"/>
      <c r="AB5" s="116"/>
    </row>
    <row r="6" spans="1:28" x14ac:dyDescent="0.25">
      <c r="A6" s="28">
        <v>5000011124</v>
      </c>
      <c r="B6" s="112" t="str">
        <f>IFERROR(VLOOKUP(A6,LPU!$B$7:$H$1007,2,FALSE),"")</f>
        <v>MOBIL. SERV. MÉD. PORTE DUR. &gt;60 E &lt;120D</v>
      </c>
      <c r="C6" s="113" t="str">
        <f>IFERROR(VLOOKUP(A6,LPU!$B$7:H1008,3,FALSE),"")</f>
        <v>VB</v>
      </c>
      <c r="D6" s="114">
        <f>IFERROR(VLOOKUP(A6,LPU!B8:$H$1007,7,FALSE),"")</f>
        <v>16316.99</v>
      </c>
      <c r="E6" s="34">
        <v>1</v>
      </c>
      <c r="F6" s="115">
        <f t="shared" si="0"/>
        <v>16316.99</v>
      </c>
      <c r="G6" s="106">
        <v>1</v>
      </c>
      <c r="H6" s="116">
        <f t="shared" ref="H6:H38" si="10">IF(G6&gt;0,G6*D6,"")</f>
        <v>16316.99</v>
      </c>
      <c r="I6" s="106"/>
      <c r="J6" s="116" t="str">
        <f>IF(I6&gt;0,I6*D6,"")</f>
        <v/>
      </c>
      <c r="K6" s="130"/>
      <c r="L6" s="116" t="str">
        <f t="shared" si="2"/>
        <v/>
      </c>
      <c r="M6" s="117"/>
      <c r="N6" s="116" t="str">
        <f t="shared" si="3"/>
        <v/>
      </c>
      <c r="O6" s="117"/>
      <c r="P6" s="116"/>
      <c r="Q6" s="117"/>
      <c r="R6" s="116"/>
      <c r="S6" s="117"/>
      <c r="T6" s="116" t="str">
        <f t="shared" si="6"/>
        <v/>
      </c>
      <c r="U6" s="117"/>
      <c r="V6" s="116" t="str">
        <f t="shared" si="7"/>
        <v/>
      </c>
      <c r="W6" s="117"/>
      <c r="X6" s="116" t="str">
        <f t="shared" si="8"/>
        <v/>
      </c>
      <c r="Y6" s="117">
        <f t="shared" si="9"/>
        <v>1</v>
      </c>
      <c r="Z6" s="116"/>
      <c r="AA6" s="118"/>
      <c r="AB6" s="116"/>
    </row>
    <row r="7" spans="1:28" x14ac:dyDescent="0.25">
      <c r="A7" s="28">
        <v>5000011388</v>
      </c>
      <c r="B7" s="112" t="str">
        <f>IFERROR(VLOOKUP(A7,LPU!$B$7:$H$1007,2,FALSE),"")</f>
        <v>LIMPEZA INICIAL</v>
      </c>
      <c r="C7" s="113" t="str">
        <f>IFERROR(VLOOKUP(A7,LPU!$B$7:H1011,3,FALSE),"")</f>
        <v>UN</v>
      </c>
      <c r="D7" s="114">
        <f>IFERROR(VLOOKUP(A7,LPU!B11:$H$1007,7,FALSE),"")</f>
        <v>3189</v>
      </c>
      <c r="E7" s="34">
        <v>1</v>
      </c>
      <c r="F7" s="115">
        <f t="shared" si="0"/>
        <v>3189</v>
      </c>
      <c r="G7" s="106">
        <v>1</v>
      </c>
      <c r="H7" s="116">
        <f t="shared" si="10"/>
        <v>3189</v>
      </c>
      <c r="I7" s="106"/>
      <c r="J7" s="116" t="str">
        <f t="shared" ref="J7:J38" si="11">IF(I7&gt;0,I7*D7,"")</f>
        <v/>
      </c>
      <c r="K7" s="130"/>
      <c r="L7" s="116" t="str">
        <f t="shared" si="2"/>
        <v/>
      </c>
      <c r="M7" s="117"/>
      <c r="N7" s="116" t="str">
        <f t="shared" si="3"/>
        <v/>
      </c>
      <c r="O7" s="117"/>
      <c r="P7" s="116"/>
      <c r="Q7" s="117"/>
      <c r="R7" s="116"/>
      <c r="S7" s="117"/>
      <c r="T7" s="116" t="str">
        <f t="shared" si="6"/>
        <v/>
      </c>
      <c r="U7" s="117"/>
      <c r="V7" s="116" t="str">
        <f t="shared" si="7"/>
        <v/>
      </c>
      <c r="W7" s="117"/>
      <c r="X7" s="116" t="str">
        <f t="shared" si="8"/>
        <v/>
      </c>
      <c r="Y7" s="117">
        <f t="shared" si="9"/>
        <v>1</v>
      </c>
      <c r="Z7" s="116"/>
      <c r="AA7" s="118"/>
      <c r="AB7" s="116"/>
    </row>
    <row r="8" spans="1:28" x14ac:dyDescent="0.25">
      <c r="A8" s="28">
        <v>5000011389</v>
      </c>
      <c r="B8" s="112" t="str">
        <f>IFERROR(VLOOKUP(A8,LPU!$B$7:$H$1007,2,FALSE),"")</f>
        <v>INSTALAÇÕES PROVISÓRIAS DE ÁGUA E ESGOTO</v>
      </c>
      <c r="C8" s="113" t="str">
        <f>IFERROR(VLOOKUP(A8,LPU!$B$7:H1012,3,FALSE),"")</f>
        <v>MÊS</v>
      </c>
      <c r="D8" s="114">
        <f>IFERROR(VLOOKUP(A8,LPU!B12:$H$1007,7,FALSE),"")</f>
        <v>4900</v>
      </c>
      <c r="E8" s="34">
        <v>1</v>
      </c>
      <c r="F8" s="115">
        <f t="shared" si="0"/>
        <v>4900</v>
      </c>
      <c r="G8" s="106">
        <v>1</v>
      </c>
      <c r="H8" s="116">
        <f t="shared" si="10"/>
        <v>4900</v>
      </c>
      <c r="I8" s="106"/>
      <c r="J8" s="116" t="str">
        <f t="shared" si="11"/>
        <v/>
      </c>
      <c r="K8" s="130"/>
      <c r="L8" s="116" t="str">
        <f t="shared" si="2"/>
        <v/>
      </c>
      <c r="M8" s="117"/>
      <c r="N8" s="116" t="str">
        <f t="shared" si="3"/>
        <v/>
      </c>
      <c r="O8" s="117"/>
      <c r="P8" s="116"/>
      <c r="Q8" s="117"/>
      <c r="R8" s="116"/>
      <c r="S8" s="117"/>
      <c r="T8" s="116" t="str">
        <f t="shared" si="6"/>
        <v/>
      </c>
      <c r="U8" s="117"/>
      <c r="V8" s="116" t="str">
        <f t="shared" si="7"/>
        <v/>
      </c>
      <c r="W8" s="117"/>
      <c r="X8" s="116" t="str">
        <f t="shared" si="8"/>
        <v/>
      </c>
      <c r="Y8" s="117">
        <f t="shared" si="9"/>
        <v>1</v>
      </c>
      <c r="Z8" s="116"/>
      <c r="AA8" s="118"/>
      <c r="AB8" s="116"/>
    </row>
    <row r="9" spans="1:28" x14ac:dyDescent="0.25">
      <c r="A9" s="28">
        <v>5000011129</v>
      </c>
      <c r="B9" s="112" t="str">
        <f>IFERROR(VLOOKUP(A9,LPU!$B$7:$H$1007,2,FALSE),"")</f>
        <v>EMITIR ART E DOCUMENTAÇÃO DE AMPLI SE'S</v>
      </c>
      <c r="C9" s="113" t="str">
        <f>IFERROR(VLOOKUP(A9,LPU!$B$7:H1013,3,FALSE),"")</f>
        <v>UN</v>
      </c>
      <c r="D9" s="114">
        <f>IFERROR(VLOOKUP(A9,LPU!B13:$H$1007,7,FALSE),"")</f>
        <v>3839.85</v>
      </c>
      <c r="E9" s="34">
        <v>1</v>
      </c>
      <c r="F9" s="115">
        <f t="shared" si="0"/>
        <v>3839.85</v>
      </c>
      <c r="G9" s="106"/>
      <c r="H9" s="116" t="str">
        <f t="shared" si="10"/>
        <v/>
      </c>
      <c r="I9" s="106"/>
      <c r="J9" s="116" t="str">
        <f t="shared" si="11"/>
        <v/>
      </c>
      <c r="K9" s="130"/>
      <c r="L9" s="116" t="str">
        <f t="shared" si="2"/>
        <v/>
      </c>
      <c r="M9" s="117"/>
      <c r="N9" s="116" t="str">
        <f t="shared" si="3"/>
        <v/>
      </c>
      <c r="O9" s="117"/>
      <c r="P9" s="116"/>
      <c r="Q9" s="117"/>
      <c r="R9" s="116"/>
      <c r="S9" s="117"/>
      <c r="T9" s="116" t="str">
        <f t="shared" si="6"/>
        <v/>
      </c>
      <c r="U9" s="117"/>
      <c r="V9" s="116" t="str">
        <f t="shared" si="7"/>
        <v/>
      </c>
      <c r="W9" s="117"/>
      <c r="X9" s="116" t="str">
        <f t="shared" si="8"/>
        <v/>
      </c>
      <c r="Y9" s="117">
        <f t="shared" si="9"/>
        <v>0</v>
      </c>
      <c r="Z9" s="116"/>
      <c r="AA9" s="118"/>
      <c r="AB9" s="116"/>
    </row>
    <row r="10" spans="1:28" x14ac:dyDescent="0.25">
      <c r="A10" s="28">
        <v>5000011131</v>
      </c>
      <c r="B10" s="112" t="str">
        <f>IFERROR(VLOOKUP(A10,LPU!$B$7:$H$1007,2,FALSE),"")</f>
        <v>INSTALAR PLACA DE IDENTIFICAÇÃO DE OBRAS</v>
      </c>
      <c r="C10" s="113" t="str">
        <f>IFERROR(VLOOKUP(A10,LPU!$B$7:H1014,3,FALSE),"")</f>
        <v>M2</v>
      </c>
      <c r="D10" s="114">
        <f>IFERROR(VLOOKUP(A10,LPU!B14:$H$1007,7,FALSE),"")</f>
        <v>971.77</v>
      </c>
      <c r="E10" s="34">
        <v>6</v>
      </c>
      <c r="F10" s="115">
        <f t="shared" si="0"/>
        <v>5830.62</v>
      </c>
      <c r="G10" s="106"/>
      <c r="H10" s="116" t="str">
        <f t="shared" si="10"/>
        <v/>
      </c>
      <c r="I10" s="106"/>
      <c r="J10" s="116" t="str">
        <f t="shared" si="11"/>
        <v/>
      </c>
      <c r="K10" s="130"/>
      <c r="L10" s="116" t="str">
        <f t="shared" si="2"/>
        <v/>
      </c>
      <c r="M10" s="117"/>
      <c r="N10" s="116" t="str">
        <f t="shared" si="3"/>
        <v/>
      </c>
      <c r="O10" s="117"/>
      <c r="P10" s="116"/>
      <c r="Q10" s="117"/>
      <c r="R10" s="116"/>
      <c r="S10" s="117"/>
      <c r="T10" s="116" t="str">
        <f t="shared" si="6"/>
        <v/>
      </c>
      <c r="U10" s="117"/>
      <c r="V10" s="116" t="str">
        <f t="shared" si="7"/>
        <v/>
      </c>
      <c r="W10" s="117"/>
      <c r="X10" s="116" t="str">
        <f t="shared" si="8"/>
        <v/>
      </c>
      <c r="Y10" s="117">
        <f t="shared" si="9"/>
        <v>0</v>
      </c>
      <c r="Z10" s="116"/>
      <c r="AA10" s="118"/>
      <c r="AB10" s="116"/>
    </row>
    <row r="11" spans="1:28" x14ac:dyDescent="0.25">
      <c r="A11" s="28">
        <v>5000011133</v>
      </c>
      <c r="B11" s="112" t="str">
        <f>IFERROR(VLOOKUP(A11,LPU!$B$7:$H$1007,2,FALSE),"")</f>
        <v>FORNEC. E INSTAL. ESCRIT. CONTAINER OBRA</v>
      </c>
      <c r="C11" s="113" t="str">
        <f>IFERROR(VLOOKUP(A11,LPU!$B$7:H1015,3,FALSE),"")</f>
        <v>MÊS</v>
      </c>
      <c r="D11" s="114">
        <v>2274.35</v>
      </c>
      <c r="E11" s="34">
        <v>3</v>
      </c>
      <c r="F11" s="115">
        <f t="shared" si="0"/>
        <v>6823.0499999999993</v>
      </c>
      <c r="G11" s="106">
        <v>1</v>
      </c>
      <c r="H11" s="116">
        <f t="shared" si="10"/>
        <v>2274.35</v>
      </c>
      <c r="I11" s="106">
        <v>2</v>
      </c>
      <c r="J11" s="133">
        <f>IF(I11&gt;0,I11*D11,"")</f>
        <v>4548.7</v>
      </c>
      <c r="K11" s="130">
        <v>1</v>
      </c>
      <c r="L11" s="116">
        <f t="shared" si="2"/>
        <v>2274.35</v>
      </c>
      <c r="M11" s="117">
        <v>1</v>
      </c>
      <c r="N11" s="116">
        <f t="shared" si="3"/>
        <v>2274.35</v>
      </c>
      <c r="O11" s="117"/>
      <c r="P11" s="116"/>
      <c r="Q11" s="117"/>
      <c r="R11" s="116"/>
      <c r="S11" s="117"/>
      <c r="T11" s="116" t="str">
        <f t="shared" si="6"/>
        <v/>
      </c>
      <c r="U11" s="117"/>
      <c r="V11" s="116" t="str">
        <f t="shared" si="7"/>
        <v/>
      </c>
      <c r="W11" s="117"/>
      <c r="X11" s="116" t="str">
        <f t="shared" si="8"/>
        <v/>
      </c>
      <c r="Y11" s="117">
        <f t="shared" si="9"/>
        <v>5</v>
      </c>
      <c r="Z11" s="116"/>
      <c r="AA11" s="118"/>
      <c r="AB11" s="116"/>
    </row>
    <row r="12" spans="1:28" x14ac:dyDescent="0.25">
      <c r="A12" s="28">
        <v>3000018187</v>
      </c>
      <c r="B12" s="112" t="str">
        <f>IFERROR(VLOOKUP(A12,LPU!$B$7:$H$1007,2,FALSE),"")</f>
        <v>ALUGUEL DE CONTAINER P/ BANHEIROS</v>
      </c>
      <c r="C12" s="113" t="str">
        <f>IFERROR(VLOOKUP(A12,LPU!$B$7:H1016,3,FALSE),"")</f>
        <v>MÊS</v>
      </c>
      <c r="D12" s="114">
        <v>1586.53</v>
      </c>
      <c r="E12" s="34">
        <v>3</v>
      </c>
      <c r="F12" s="115">
        <f t="shared" si="0"/>
        <v>4759.59</v>
      </c>
      <c r="G12" s="106">
        <v>1</v>
      </c>
      <c r="H12" s="116">
        <f t="shared" si="10"/>
        <v>1586.53</v>
      </c>
      <c r="I12" s="106">
        <v>2</v>
      </c>
      <c r="J12" s="133">
        <f t="shared" si="11"/>
        <v>3173.06</v>
      </c>
      <c r="K12" s="130">
        <v>1</v>
      </c>
      <c r="L12" s="116">
        <f t="shared" si="2"/>
        <v>1586.53</v>
      </c>
      <c r="M12" s="117">
        <v>1</v>
      </c>
      <c r="N12" s="116">
        <f t="shared" si="3"/>
        <v>1586.53</v>
      </c>
      <c r="O12" s="117"/>
      <c r="P12" s="116"/>
      <c r="Q12" s="117"/>
      <c r="R12" s="116"/>
      <c r="S12" s="117"/>
      <c r="T12" s="116" t="str">
        <f t="shared" si="6"/>
        <v/>
      </c>
      <c r="U12" s="117"/>
      <c r="V12" s="116" t="str">
        <f t="shared" si="7"/>
        <v/>
      </c>
      <c r="W12" s="117"/>
      <c r="X12" s="116" t="str">
        <f t="shared" si="8"/>
        <v/>
      </c>
      <c r="Y12" s="117">
        <f t="shared" si="9"/>
        <v>5</v>
      </c>
      <c r="Z12" s="116"/>
      <c r="AA12" s="118"/>
      <c r="AB12" s="116"/>
    </row>
    <row r="13" spans="1:28" x14ac:dyDescent="0.25">
      <c r="A13" s="28">
        <v>5000011391</v>
      </c>
      <c r="B13" s="112" t="str">
        <f>IFERROR(VLOOKUP(A13,LPU!$B$7:$H$1007,2,FALSE),"")</f>
        <v>ALUGUEL DE CONTAINER P/ ALMOXARIFADO</v>
      </c>
      <c r="C13" s="113" t="str">
        <f>IFERROR(VLOOKUP(A13,LPU!$B$7:H1017,3,FALSE),"")</f>
        <v>MÊS</v>
      </c>
      <c r="D13" s="114">
        <v>991.59</v>
      </c>
      <c r="E13" s="34">
        <v>3</v>
      </c>
      <c r="F13" s="115">
        <f t="shared" si="0"/>
        <v>2974.77</v>
      </c>
      <c r="G13" s="106">
        <v>2</v>
      </c>
      <c r="H13" s="116">
        <f t="shared" si="10"/>
        <v>1983.18</v>
      </c>
      <c r="I13" s="106">
        <v>4</v>
      </c>
      <c r="J13" s="133">
        <f t="shared" si="11"/>
        <v>3966.36</v>
      </c>
      <c r="K13" s="130">
        <v>2</v>
      </c>
      <c r="L13" s="116">
        <f t="shared" si="2"/>
        <v>1983.18</v>
      </c>
      <c r="M13" s="117">
        <v>1</v>
      </c>
      <c r="N13" s="116">
        <f t="shared" si="3"/>
        <v>991.59</v>
      </c>
      <c r="O13" s="117"/>
      <c r="P13" s="116"/>
      <c r="Q13" s="117"/>
      <c r="R13" s="116"/>
      <c r="S13" s="117"/>
      <c r="T13" s="116" t="str">
        <f t="shared" ref="T13" si="12">IF(S13&gt;0,S13*$D13,"")</f>
        <v/>
      </c>
      <c r="U13" s="117"/>
      <c r="V13" s="116" t="str">
        <f t="shared" ref="V13" si="13">IF(U13&gt;0,U13*$D13,"")</f>
        <v/>
      </c>
      <c r="W13" s="117"/>
      <c r="X13" s="116" t="str">
        <f t="shared" ref="X13" si="14">IF(W13&gt;0,W13*$D13,"")</f>
        <v/>
      </c>
      <c r="Y13" s="117">
        <f t="shared" ref="Y13" si="15">SUM(G13,I13,K13,M13,O13,Q13,S13,U13,W13)</f>
        <v>9</v>
      </c>
      <c r="Z13" s="116"/>
      <c r="AA13" s="118"/>
      <c r="AB13" s="116"/>
    </row>
    <row r="14" spans="1:28" x14ac:dyDescent="0.25">
      <c r="A14" s="28">
        <v>5000011395</v>
      </c>
      <c r="B14" s="112" t="str">
        <f>IFERROR(VLOOKUP(A14,LPU!$B$7:$H$1007,2,FALSE),"")</f>
        <v>TRANSPORTE DOS CONTAINER</v>
      </c>
      <c r="C14" s="113" t="str">
        <f>IFERROR(VLOOKUP(A14,LPU!$B$7:H1019,3,FALSE),"")</f>
        <v>UN</v>
      </c>
      <c r="D14" s="114">
        <f>IFERROR(VLOOKUP(A14,LPU!B19:$H$1007,7,FALSE),"")</f>
        <v>3314.3</v>
      </c>
      <c r="E14" s="34">
        <v>3</v>
      </c>
      <c r="F14" s="115">
        <f t="shared" si="0"/>
        <v>9942.9000000000015</v>
      </c>
      <c r="G14" s="106">
        <v>3</v>
      </c>
      <c r="H14" s="116">
        <f t="shared" si="10"/>
        <v>9942.9000000000015</v>
      </c>
      <c r="I14" s="106"/>
      <c r="J14" s="116" t="str">
        <f t="shared" si="11"/>
        <v/>
      </c>
      <c r="K14" s="130"/>
      <c r="L14" s="116" t="str">
        <f t="shared" si="2"/>
        <v/>
      </c>
      <c r="M14" s="117"/>
      <c r="N14" s="116" t="str">
        <f t="shared" si="3"/>
        <v/>
      </c>
      <c r="O14" s="117"/>
      <c r="P14" s="116"/>
      <c r="Q14" s="117"/>
      <c r="R14" s="116"/>
      <c r="S14" s="117"/>
      <c r="T14" s="116" t="str">
        <f t="shared" si="6"/>
        <v/>
      </c>
      <c r="U14" s="117"/>
      <c r="V14" s="116" t="str">
        <f t="shared" si="7"/>
        <v/>
      </c>
      <c r="W14" s="117"/>
      <c r="X14" s="116" t="str">
        <f t="shared" si="8"/>
        <v/>
      </c>
      <c r="Y14" s="117">
        <f t="shared" si="9"/>
        <v>3</v>
      </c>
      <c r="Z14" s="116"/>
      <c r="AA14" s="118"/>
      <c r="AB14" s="116"/>
    </row>
    <row r="15" spans="1:28" x14ac:dyDescent="0.25">
      <c r="A15" s="28">
        <v>5000011398</v>
      </c>
      <c r="B15" s="112" t="str">
        <f>IFERROR(VLOOKUP(A15,LPU!$B$7:$H$1007,2,FALSE),"")</f>
        <v>BARRAÇÃO REFEITÓRIO 6X6m</v>
      </c>
      <c r="C15" s="113" t="str">
        <f>IFERROR(VLOOKUP(A15,LPU!$B$7:H1022,3,FALSE),"")</f>
        <v>UN</v>
      </c>
      <c r="D15" s="114">
        <f>IFERROR(VLOOKUP(A15,LPU!B22:$H$1007,7,FALSE),"")</f>
        <v>6905.35</v>
      </c>
      <c r="E15" s="34">
        <v>1</v>
      </c>
      <c r="F15" s="115">
        <f t="shared" si="0"/>
        <v>6905.35</v>
      </c>
      <c r="G15" s="106">
        <v>1</v>
      </c>
      <c r="H15" s="116">
        <f t="shared" si="10"/>
        <v>6905.35</v>
      </c>
      <c r="I15" s="106"/>
      <c r="J15" s="116" t="str">
        <f t="shared" si="11"/>
        <v/>
      </c>
      <c r="K15" s="130"/>
      <c r="L15" s="116" t="str">
        <f t="shared" si="2"/>
        <v/>
      </c>
      <c r="M15" s="117"/>
      <c r="N15" s="116" t="str">
        <f t="shared" si="3"/>
        <v/>
      </c>
      <c r="O15" s="117"/>
      <c r="P15" s="116"/>
      <c r="Q15" s="117"/>
      <c r="R15" s="116"/>
      <c r="S15" s="117"/>
      <c r="T15" s="116" t="str">
        <f t="shared" si="6"/>
        <v/>
      </c>
      <c r="U15" s="117"/>
      <c r="V15" s="116" t="str">
        <f t="shared" si="7"/>
        <v/>
      </c>
      <c r="W15" s="117"/>
      <c r="X15" s="116" t="str">
        <f t="shared" si="8"/>
        <v/>
      </c>
      <c r="Y15" s="117">
        <f t="shared" si="9"/>
        <v>1</v>
      </c>
      <c r="Z15" s="116"/>
      <c r="AA15" s="118"/>
      <c r="AB15" s="116"/>
    </row>
    <row r="16" spans="1:28" x14ac:dyDescent="0.25">
      <c r="A16" s="28">
        <v>5000011399</v>
      </c>
      <c r="B16" s="112" t="str">
        <f>IFERROR(VLOOKUP(A16,LPU!$B$7:$H$1007,2,FALSE),"")</f>
        <v>LIMPEZA DURANTE E NO FINAL DA OBRA</v>
      </c>
      <c r="C16" s="113" t="str">
        <f>IFERROR(VLOOKUP(A16,LPU!$B$7:H1023,3,FALSE),"")</f>
        <v>MÊS</v>
      </c>
      <c r="D16" s="114">
        <v>2454.59</v>
      </c>
      <c r="E16" s="34">
        <v>3</v>
      </c>
      <c r="F16" s="115">
        <f t="shared" si="0"/>
        <v>7363.77</v>
      </c>
      <c r="G16" s="106">
        <v>1</v>
      </c>
      <c r="H16" s="116">
        <f t="shared" si="10"/>
        <v>2454.59</v>
      </c>
      <c r="I16" s="106">
        <v>1</v>
      </c>
      <c r="J16" s="133">
        <f t="shared" si="11"/>
        <v>2454.59</v>
      </c>
      <c r="K16" s="130">
        <v>1</v>
      </c>
      <c r="L16" s="116">
        <f t="shared" si="2"/>
        <v>2454.59</v>
      </c>
      <c r="M16" s="117">
        <v>1</v>
      </c>
      <c r="N16" s="116">
        <f t="shared" si="3"/>
        <v>2454.59</v>
      </c>
      <c r="O16" s="117"/>
      <c r="P16" s="116"/>
      <c r="Q16" s="117"/>
      <c r="R16" s="116"/>
      <c r="S16" s="117"/>
      <c r="T16" s="116" t="str">
        <f t="shared" si="6"/>
        <v/>
      </c>
      <c r="U16" s="117"/>
      <c r="V16" s="116" t="str">
        <f t="shared" si="7"/>
        <v/>
      </c>
      <c r="W16" s="117"/>
      <c r="X16" s="116" t="str">
        <f t="shared" si="8"/>
        <v/>
      </c>
      <c r="Y16" s="117">
        <f t="shared" si="9"/>
        <v>4</v>
      </c>
      <c r="Z16" s="116"/>
      <c r="AA16" s="118"/>
      <c r="AB16" s="116"/>
    </row>
    <row r="17" spans="1:28" x14ac:dyDescent="0.25">
      <c r="A17" s="28">
        <v>5000011401</v>
      </c>
      <c r="B17" s="112" t="str">
        <f>IFERROR(VLOOKUP(A17,LPU!$B$7:$H$1007,2,FALSE),"")</f>
        <v>TRANSP. DE EQUIPAM. E/OU MATERIAIS - SE</v>
      </c>
      <c r="C17" s="113" t="str">
        <f>IFERROR(VLOOKUP(A17,LPU!$B$7:H1024,3,FALSE),"")</f>
        <v>KM</v>
      </c>
      <c r="D17" s="114">
        <v>9.4600000000000009</v>
      </c>
      <c r="E17" s="34">
        <v>900</v>
      </c>
      <c r="F17" s="115">
        <f>IFERROR(E17*D17,"")</f>
        <v>8514</v>
      </c>
      <c r="G17" s="132">
        <v>942</v>
      </c>
      <c r="H17" s="116">
        <f t="shared" si="10"/>
        <v>8911.3200000000015</v>
      </c>
      <c r="I17" s="106">
        <v>1608</v>
      </c>
      <c r="J17" s="133">
        <f t="shared" si="11"/>
        <v>15211.680000000002</v>
      </c>
      <c r="K17" s="106">
        <v>832</v>
      </c>
      <c r="L17" s="116">
        <f t="shared" si="2"/>
        <v>7870.7200000000012</v>
      </c>
      <c r="M17" s="117">
        <v>494</v>
      </c>
      <c r="N17" s="116">
        <f t="shared" si="3"/>
        <v>4673.2400000000007</v>
      </c>
      <c r="O17" s="129"/>
      <c r="P17" s="116"/>
      <c r="Q17" s="131"/>
      <c r="R17" s="116"/>
      <c r="S17" s="117"/>
      <c r="T17" s="116" t="str">
        <f t="shared" ref="T17" si="16">IF(S17&gt;0,S17*$D17,"")</f>
        <v/>
      </c>
      <c r="U17" s="117"/>
      <c r="V17" s="116" t="str">
        <f t="shared" ref="V17" si="17">IF(U17&gt;0,U17*$D17,"")</f>
        <v/>
      </c>
      <c r="W17" s="117"/>
      <c r="X17" s="116" t="str">
        <f t="shared" ref="X17" si="18">IF(W17&gt;0,W17*$D17,"")</f>
        <v/>
      </c>
      <c r="Y17" s="117">
        <f t="shared" si="9"/>
        <v>3876</v>
      </c>
      <c r="Z17" s="116"/>
      <c r="AA17" s="118"/>
      <c r="AB17" s="116"/>
    </row>
    <row r="18" spans="1:28" ht="25.5" x14ac:dyDescent="0.25">
      <c r="A18" s="28">
        <v>5000007476</v>
      </c>
      <c r="B18" s="112" t="str">
        <f>IFERROR(VLOOKUP(A18,LPU!$B$7:$H$1007,2,FALSE),"")</f>
        <v>TRANSPORTE/REMOÇÃO DO MATERIAL PROVENIENTE DAS ESCAVAÇÕES PARA FORA DO PÁTIO</v>
      </c>
      <c r="C18" s="113" t="str">
        <f>IFERROR(VLOOKUP(A18,LPU!$B$7:H1026,3,FALSE),"")</f>
        <v>M3</v>
      </c>
      <c r="D18" s="114">
        <v>104.23</v>
      </c>
      <c r="E18" s="34">
        <v>100</v>
      </c>
      <c r="F18" s="115">
        <f t="shared" si="0"/>
        <v>10423</v>
      </c>
      <c r="G18" s="106">
        <v>5</v>
      </c>
      <c r="H18" s="116">
        <f t="shared" si="10"/>
        <v>521.15</v>
      </c>
      <c r="I18" s="106">
        <v>2</v>
      </c>
      <c r="J18" s="133">
        <f t="shared" si="11"/>
        <v>208.46</v>
      </c>
      <c r="K18" s="130">
        <v>3</v>
      </c>
      <c r="L18" s="116">
        <f t="shared" si="2"/>
        <v>312.69</v>
      </c>
      <c r="M18" s="117"/>
      <c r="N18" s="116" t="str">
        <f t="shared" si="3"/>
        <v/>
      </c>
      <c r="O18" s="117"/>
      <c r="P18" s="116"/>
      <c r="Q18" s="117"/>
      <c r="R18" s="116"/>
      <c r="S18" s="117"/>
      <c r="T18" s="116" t="str">
        <f t="shared" si="6"/>
        <v/>
      </c>
      <c r="U18" s="117"/>
      <c r="V18" s="116" t="str">
        <f t="shared" si="7"/>
        <v/>
      </c>
      <c r="W18" s="117"/>
      <c r="X18" s="116" t="str">
        <f t="shared" si="8"/>
        <v/>
      </c>
      <c r="Y18" s="117">
        <f t="shared" si="9"/>
        <v>10</v>
      </c>
      <c r="Z18" s="116"/>
      <c r="AA18" s="118"/>
      <c r="AB18" s="116"/>
    </row>
    <row r="19" spans="1:28" x14ac:dyDescent="0.25">
      <c r="A19" s="28">
        <v>5000011387</v>
      </c>
      <c r="B19" s="112" t="str">
        <f>IFERROR(VLOOKUP(A19,LPU!$B$7:$H$1007,2,FALSE),"")</f>
        <v>TELA TAPUME (ISOLAMENTO/SINALIZAÇÃO)</v>
      </c>
      <c r="C19" s="113" t="str">
        <f>IFERROR(VLOOKUP(A19,LPU!$B$7:H1027,3,FALSE),"")</f>
        <v>M</v>
      </c>
      <c r="D19" s="114">
        <f>IFERROR(VLOOKUP(A19,LPU!B27:$H$1007,7,FALSE),"")</f>
        <v>19.239999999999998</v>
      </c>
      <c r="E19" s="34">
        <v>150</v>
      </c>
      <c r="F19" s="115">
        <f t="shared" si="0"/>
        <v>2885.9999999999995</v>
      </c>
      <c r="G19" s="106">
        <v>100</v>
      </c>
      <c r="H19" s="116">
        <f t="shared" si="10"/>
        <v>1923.9999999999998</v>
      </c>
      <c r="I19" s="106"/>
      <c r="J19" s="116" t="str">
        <f t="shared" si="11"/>
        <v/>
      </c>
      <c r="K19" s="130"/>
      <c r="L19" s="116" t="str">
        <f t="shared" si="2"/>
        <v/>
      </c>
      <c r="M19" s="117"/>
      <c r="N19" s="116" t="str">
        <f t="shared" si="3"/>
        <v/>
      </c>
      <c r="O19" s="117"/>
      <c r="P19" s="116"/>
      <c r="Q19" s="117"/>
      <c r="R19" s="116"/>
      <c r="S19" s="117"/>
      <c r="T19" s="116" t="str">
        <f t="shared" si="6"/>
        <v/>
      </c>
      <c r="U19" s="117"/>
      <c r="V19" s="116" t="str">
        <f t="shared" si="7"/>
        <v/>
      </c>
      <c r="W19" s="117"/>
      <c r="X19" s="116" t="str">
        <f t="shared" si="8"/>
        <v/>
      </c>
      <c r="Y19" s="117">
        <f t="shared" si="9"/>
        <v>100</v>
      </c>
      <c r="Z19" s="116"/>
      <c r="AA19" s="118"/>
      <c r="AB19" s="116"/>
    </row>
    <row r="20" spans="1:28" x14ac:dyDescent="0.25">
      <c r="A20" s="28">
        <v>5000011386</v>
      </c>
      <c r="B20" s="112" t="str">
        <f>IFERROR(VLOOKUP(A20,LPU!$B$7:$H$1007,2,FALSE),"")</f>
        <v>INSTALAÇÕES PROVIS.  DE ENERGIA ELÉTRICA</v>
      </c>
      <c r="C20" s="113" t="str">
        <f>IFERROR(VLOOKUP(A20,LPU!$B$7:H1028,3,FALSE),"")</f>
        <v>MÊS</v>
      </c>
      <c r="D20" s="114">
        <f>IFERROR(VLOOKUP(A20,LPU!B28:$H$1007,7,FALSE),"")</f>
        <v>6112.22</v>
      </c>
      <c r="E20" s="34">
        <v>1</v>
      </c>
      <c r="F20" s="115">
        <f t="shared" si="0"/>
        <v>6112.22</v>
      </c>
      <c r="G20" s="106">
        <v>1</v>
      </c>
      <c r="H20" s="116">
        <f t="shared" si="10"/>
        <v>6112.22</v>
      </c>
      <c r="I20" s="106"/>
      <c r="J20" s="116" t="str">
        <f t="shared" si="11"/>
        <v/>
      </c>
      <c r="K20" s="130"/>
      <c r="L20" s="116" t="str">
        <f t="shared" si="2"/>
        <v/>
      </c>
      <c r="M20" s="117"/>
      <c r="N20" s="116" t="str">
        <f t="shared" si="3"/>
        <v/>
      </c>
      <c r="O20" s="117"/>
      <c r="P20" s="116"/>
      <c r="Q20" s="117"/>
      <c r="R20" s="116"/>
      <c r="S20" s="117"/>
      <c r="T20" s="116" t="str">
        <f t="shared" si="6"/>
        <v/>
      </c>
      <c r="U20" s="117"/>
      <c r="V20" s="116" t="str">
        <f t="shared" si="7"/>
        <v/>
      </c>
      <c r="W20" s="117"/>
      <c r="X20" s="116" t="str">
        <f t="shared" si="8"/>
        <v/>
      </c>
      <c r="Y20" s="117">
        <f t="shared" si="9"/>
        <v>1</v>
      </c>
      <c r="Z20" s="116"/>
      <c r="AA20" s="118"/>
      <c r="AB20" s="116"/>
    </row>
    <row r="21" spans="1:28" x14ac:dyDescent="0.25">
      <c r="A21" s="28">
        <v>5000011400</v>
      </c>
      <c r="B21" s="112" t="str">
        <f>IFERROR(VLOOKUP(A21,LPU!$B$7:$H$1007,2,FALSE),"")</f>
        <v>MÃO DE OBRA DE ADMINISTRAÇÃO LOCAL</v>
      </c>
      <c r="C21" s="113" t="str">
        <f>IFERROR(VLOOKUP(A21,LPU!$B$7:H1030,3,FALSE),"")</f>
        <v>%</v>
      </c>
      <c r="D21" s="114">
        <v>269552.71999999997</v>
      </c>
      <c r="E21" s="34">
        <v>0.08</v>
      </c>
      <c r="F21" s="115">
        <f t="shared" si="0"/>
        <v>21564.2176</v>
      </c>
      <c r="G21" s="106">
        <v>0.08</v>
      </c>
      <c r="H21" s="116">
        <f>106833.76*0.08</f>
        <v>8546.7008000000005</v>
      </c>
      <c r="I21" s="106">
        <v>0.08</v>
      </c>
      <c r="J21" s="133">
        <f>52307.01*0.08</f>
        <v>4184.5608000000002</v>
      </c>
      <c r="K21" s="130">
        <v>0.08</v>
      </c>
      <c r="L21" s="116">
        <f>73699.01*0.08</f>
        <v>5895.9207999999999</v>
      </c>
      <c r="M21" s="117">
        <v>0.08</v>
      </c>
      <c r="N21" s="116">
        <f>86325.36*0.08</f>
        <v>6906.0288</v>
      </c>
      <c r="O21" s="117"/>
      <c r="P21" s="116"/>
      <c r="Q21" s="117"/>
      <c r="R21" s="116"/>
      <c r="S21" s="117"/>
      <c r="T21" s="116" t="str">
        <f t="shared" ref="T21:T38" si="19">IF(S21&gt;0,S21*$D21,"")</f>
        <v/>
      </c>
      <c r="U21" s="117"/>
      <c r="V21" s="116" t="str">
        <f t="shared" ref="V21:V38" si="20">IF(U21&gt;0,U21*$D21,"")</f>
        <v/>
      </c>
      <c r="W21" s="117"/>
      <c r="X21" s="116" t="str">
        <f t="shared" ref="X21:X38" si="21">IF(W21&gt;0,W21*$D21,"")</f>
        <v/>
      </c>
      <c r="Y21" s="117">
        <f t="shared" ref="Y21:Y38" si="22">SUM(G21,I21,K21,M21,O21,Q21,S21,U21,W21)</f>
        <v>0.32</v>
      </c>
      <c r="Z21" s="116"/>
      <c r="AA21" s="118"/>
      <c r="AB21" s="116"/>
    </row>
    <row r="22" spans="1:28" x14ac:dyDescent="0.25">
      <c r="A22" s="28">
        <v>5000011145</v>
      </c>
      <c r="B22" s="112" t="str">
        <f>IFERROR(VLOOKUP(A22,LPU!$B$7:$H$1007,2,FALSE),"")</f>
        <v>EXECUTAR LOCAÇÃO DE OBRA DE SUBESTAÇÃO</v>
      </c>
      <c r="C22" s="113" t="str">
        <f>IFERROR(VLOOKUP(A22,LPU!$B$7:H1031,3,FALSE),"")</f>
        <v>M2</v>
      </c>
      <c r="D22" s="114">
        <v>21.45</v>
      </c>
      <c r="E22" s="34">
        <v>300</v>
      </c>
      <c r="F22" s="115">
        <f t="shared" si="0"/>
        <v>6435</v>
      </c>
      <c r="G22" s="106">
        <v>126</v>
      </c>
      <c r="H22" s="116">
        <f t="shared" si="10"/>
        <v>2702.7</v>
      </c>
      <c r="I22" s="106"/>
      <c r="J22" s="116" t="str">
        <f t="shared" si="11"/>
        <v/>
      </c>
      <c r="K22" s="130"/>
      <c r="L22" s="116" t="str">
        <f t="shared" si="2"/>
        <v/>
      </c>
      <c r="M22" s="117"/>
      <c r="N22" s="116" t="str">
        <f t="shared" si="3"/>
        <v/>
      </c>
      <c r="O22" s="117"/>
      <c r="P22" s="116"/>
      <c r="Q22" s="117"/>
      <c r="R22" s="116"/>
      <c r="S22" s="117"/>
      <c r="T22" s="116" t="str">
        <f t="shared" si="19"/>
        <v/>
      </c>
      <c r="U22" s="117"/>
      <c r="V22" s="116" t="str">
        <f t="shared" si="20"/>
        <v/>
      </c>
      <c r="W22" s="117"/>
      <c r="X22" s="116" t="str">
        <f t="shared" si="21"/>
        <v/>
      </c>
      <c r="Y22" s="117">
        <f t="shared" si="22"/>
        <v>126</v>
      </c>
      <c r="Z22" s="116"/>
      <c r="AA22" s="118"/>
      <c r="AB22" s="116"/>
    </row>
    <row r="23" spans="1:28" x14ac:dyDescent="0.25">
      <c r="A23" s="28">
        <v>3000018810</v>
      </c>
      <c r="B23" s="112" t="str">
        <f>IFERROR(VLOOKUP(A23,LPU!$B$7:$H$1007,2,FALSE),"")</f>
        <v>BASE POSTE 12/1650 - G-0-0-PJ-PP-39</v>
      </c>
      <c r="C23" s="113" t="str">
        <f>IFERROR(VLOOKUP(A23,LPU!$B$7:H1032,3,FALSE),"")</f>
        <v>UN</v>
      </c>
      <c r="D23" s="114">
        <f>IFERROR(VLOOKUP(A23,LPU!B32:$H$1007,7,FALSE),"")</f>
        <v>8907.8700000000008</v>
      </c>
      <c r="E23" s="34">
        <v>4</v>
      </c>
      <c r="F23" s="115">
        <f t="shared" si="0"/>
        <v>35631.480000000003</v>
      </c>
      <c r="G23" s="106">
        <v>2</v>
      </c>
      <c r="H23" s="116">
        <f t="shared" si="10"/>
        <v>17815.740000000002</v>
      </c>
      <c r="I23" s="106"/>
      <c r="J23" s="116" t="str">
        <f t="shared" si="11"/>
        <v/>
      </c>
      <c r="K23" s="130"/>
      <c r="L23" s="116" t="str">
        <f t="shared" si="2"/>
        <v/>
      </c>
      <c r="M23" s="117"/>
      <c r="N23" s="116" t="str">
        <f t="shared" si="3"/>
        <v/>
      </c>
      <c r="O23" s="117"/>
      <c r="P23" s="116"/>
      <c r="Q23" s="117"/>
      <c r="R23" s="116"/>
      <c r="S23" s="117"/>
      <c r="T23" s="116" t="str">
        <f t="shared" si="19"/>
        <v/>
      </c>
      <c r="U23" s="117"/>
      <c r="V23" s="116" t="str">
        <f t="shared" si="20"/>
        <v/>
      </c>
      <c r="W23" s="117"/>
      <c r="X23" s="116" t="str">
        <f t="shared" si="21"/>
        <v/>
      </c>
      <c r="Y23" s="117">
        <f t="shared" si="22"/>
        <v>2</v>
      </c>
      <c r="Z23" s="116"/>
      <c r="AA23" s="118"/>
      <c r="AB23" s="116"/>
    </row>
    <row r="24" spans="1:28" x14ac:dyDescent="0.25">
      <c r="A24" s="28">
        <v>5000011416</v>
      </c>
      <c r="B24" s="112" t="str">
        <f>IFERROR(VLOOKUP(A24,LPU!$B$7:$H$1007,2,FALSE),"")</f>
        <v>BANCO CAPAC. 2,25MVAR - G-0-0-PJ-PB-88</v>
      </c>
      <c r="C24" s="113" t="str">
        <f>IFERROR(VLOOKUP(A24,LPU!$B$7:H1033,3,FALSE),"")</f>
        <v>UN</v>
      </c>
      <c r="D24" s="114">
        <v>5369.19</v>
      </c>
      <c r="E24" s="34">
        <v>2</v>
      </c>
      <c r="F24" s="115">
        <f t="shared" si="0"/>
        <v>10738.38</v>
      </c>
      <c r="G24" s="106">
        <v>2</v>
      </c>
      <c r="H24" s="116">
        <f t="shared" si="10"/>
        <v>10738.38</v>
      </c>
      <c r="I24" s="106">
        <v>1</v>
      </c>
      <c r="J24" s="133">
        <f t="shared" si="11"/>
        <v>5369.19</v>
      </c>
      <c r="K24" s="130"/>
      <c r="L24" s="116" t="str">
        <f t="shared" si="2"/>
        <v/>
      </c>
      <c r="M24" s="117"/>
      <c r="N24" s="116" t="str">
        <f t="shared" si="3"/>
        <v/>
      </c>
      <c r="O24" s="117"/>
      <c r="P24" s="116"/>
      <c r="Q24" s="117"/>
      <c r="R24" s="116"/>
      <c r="S24" s="117"/>
      <c r="T24" s="116" t="str">
        <f t="shared" si="19"/>
        <v/>
      </c>
      <c r="U24" s="117"/>
      <c r="V24" s="116" t="str">
        <f t="shared" si="20"/>
        <v/>
      </c>
      <c r="W24" s="117"/>
      <c r="X24" s="116" t="str">
        <f t="shared" si="21"/>
        <v/>
      </c>
      <c r="Y24" s="117">
        <f t="shared" si="22"/>
        <v>3</v>
      </c>
      <c r="Z24" s="116"/>
      <c r="AA24" s="118"/>
      <c r="AB24" s="116"/>
    </row>
    <row r="25" spans="1:28" x14ac:dyDescent="0.25">
      <c r="A25" s="28">
        <v>3000018724</v>
      </c>
      <c r="B25" s="112" t="str">
        <f>IFERROR(VLOOKUP(A25,LPU!$B$7:$H$1007,2,FALSE),"")</f>
        <v>FUNDAÇÃO DISJUNTOR 13,8/34,5KV - G-0-0-PJ-PB-123</v>
      </c>
      <c r="C25" s="113" t="str">
        <f>IFERROR(VLOOKUP(A25,LPU!$B$7:H1034,3,FALSE),"")</f>
        <v>UN</v>
      </c>
      <c r="D25" s="114">
        <v>8923.56</v>
      </c>
      <c r="E25" s="34">
        <v>1</v>
      </c>
      <c r="F25" s="115">
        <f t="shared" si="0"/>
        <v>8923.56</v>
      </c>
      <c r="G25" s="106">
        <v>0.5</v>
      </c>
      <c r="H25" s="116">
        <f t="shared" si="10"/>
        <v>4461.78</v>
      </c>
      <c r="I25" s="106"/>
      <c r="J25" s="116" t="str">
        <f t="shared" si="11"/>
        <v/>
      </c>
      <c r="K25" s="130"/>
      <c r="L25" s="116" t="str">
        <f t="shared" si="2"/>
        <v/>
      </c>
      <c r="M25" s="117">
        <v>0.5</v>
      </c>
      <c r="N25" s="116">
        <f t="shared" si="3"/>
        <v>4461.78</v>
      </c>
      <c r="O25" s="117"/>
      <c r="P25" s="116"/>
      <c r="Q25" s="117"/>
      <c r="R25" s="116"/>
      <c r="S25" s="117"/>
      <c r="T25" s="116" t="str">
        <f t="shared" si="19"/>
        <v/>
      </c>
      <c r="U25" s="117"/>
      <c r="V25" s="116" t="str">
        <f t="shared" si="20"/>
        <v/>
      </c>
      <c r="W25" s="117"/>
      <c r="X25" s="116" t="str">
        <f t="shared" si="21"/>
        <v/>
      </c>
      <c r="Y25" s="117">
        <f t="shared" si="22"/>
        <v>1</v>
      </c>
      <c r="Z25" s="116"/>
      <c r="AA25" s="118"/>
      <c r="AB25" s="116"/>
    </row>
    <row r="26" spans="1:28" x14ac:dyDescent="0.25">
      <c r="A26" s="28">
        <v>5000011253</v>
      </c>
      <c r="B26" s="112" t="str">
        <f>IFERROR(VLOOKUP(A26,LPU!$B$7:$H$1007,2,FALSE),"")</f>
        <v>REALOCAR E ESPALHAR BRITA NO PÁTIO DE SE</v>
      </c>
      <c r="C26" s="113" t="str">
        <f>IFERROR(VLOOKUP(A26,LPU!$B$7:H1035,3,FALSE),"")</f>
        <v>M2</v>
      </c>
      <c r="D26" s="114">
        <v>29.83</v>
      </c>
      <c r="E26" s="34">
        <v>8.5</v>
      </c>
      <c r="F26" s="115">
        <f t="shared" si="0"/>
        <v>253.55499999999998</v>
      </c>
      <c r="G26" s="106">
        <v>50</v>
      </c>
      <c r="H26" s="116">
        <f t="shared" si="10"/>
        <v>1491.5</v>
      </c>
      <c r="I26" s="106">
        <v>46.865000000000002</v>
      </c>
      <c r="J26" s="133">
        <f t="shared" si="11"/>
        <v>1397.9829500000001</v>
      </c>
      <c r="K26" s="130">
        <v>30</v>
      </c>
      <c r="L26" s="116">
        <f t="shared" si="2"/>
        <v>894.9</v>
      </c>
      <c r="M26" s="117">
        <v>6</v>
      </c>
      <c r="N26" s="116">
        <f t="shared" si="3"/>
        <v>178.98</v>
      </c>
      <c r="O26" s="117"/>
      <c r="P26" s="116"/>
      <c r="Q26" s="117"/>
      <c r="R26" s="116"/>
      <c r="S26" s="117"/>
      <c r="T26" s="116" t="str">
        <f t="shared" si="19"/>
        <v/>
      </c>
      <c r="U26" s="117"/>
      <c r="V26" s="116" t="str">
        <f t="shared" si="20"/>
        <v/>
      </c>
      <c r="W26" s="117"/>
      <c r="X26" s="116" t="str">
        <f t="shared" si="21"/>
        <v/>
      </c>
      <c r="Y26" s="117">
        <f t="shared" si="22"/>
        <v>132.86500000000001</v>
      </c>
      <c r="Z26" s="116"/>
      <c r="AA26" s="118"/>
      <c r="AB26" s="116"/>
    </row>
    <row r="27" spans="1:28" ht="25.5" x14ac:dyDescent="0.25">
      <c r="A27" s="28">
        <v>3000016144</v>
      </c>
      <c r="B27" s="112" t="str">
        <f>IFERROR(VLOOKUP(A27,LPU!$B$7:$H$1007,2,FALSE),"")</f>
        <v>DEMOLIÇÃO DE CONCRETO ARMADO E BASES DE POSTES, TRAFO, ESTRUTURAS E SIMILARES, VIGA TRILHO</v>
      </c>
      <c r="C27" s="113" t="str">
        <f>IFERROR(VLOOKUP(A27,LPU!$B$7:H1036,3,FALSE),"")</f>
        <v>M3</v>
      </c>
      <c r="D27" s="114">
        <f>IFERROR(VLOOKUP(A27,LPU!B36:$H$1007,7,FALSE),"")</f>
        <v>893.3</v>
      </c>
      <c r="E27" s="34">
        <v>0.44</v>
      </c>
      <c r="F27" s="115">
        <f t="shared" si="0"/>
        <v>393.05199999999996</v>
      </c>
      <c r="G27" s="106">
        <v>0.5</v>
      </c>
      <c r="H27" s="116">
        <f t="shared" si="10"/>
        <v>446.65</v>
      </c>
      <c r="I27" s="106"/>
      <c r="J27" s="116" t="str">
        <f t="shared" si="11"/>
        <v/>
      </c>
      <c r="K27" s="130"/>
      <c r="L27" s="116" t="str">
        <f t="shared" si="2"/>
        <v/>
      </c>
      <c r="M27" s="117"/>
      <c r="N27" s="116" t="str">
        <f t="shared" si="3"/>
        <v/>
      </c>
      <c r="O27" s="117"/>
      <c r="P27" s="116"/>
      <c r="Q27" s="117"/>
      <c r="R27" s="116"/>
      <c r="S27" s="117"/>
      <c r="T27" s="116" t="str">
        <f t="shared" si="19"/>
        <v/>
      </c>
      <c r="U27" s="117"/>
      <c r="V27" s="116" t="str">
        <f t="shared" si="20"/>
        <v/>
      </c>
      <c r="W27" s="117"/>
      <c r="X27" s="116" t="str">
        <f t="shared" si="21"/>
        <v/>
      </c>
      <c r="Y27" s="117">
        <f t="shared" si="22"/>
        <v>0.5</v>
      </c>
      <c r="Z27" s="116"/>
      <c r="AA27" s="118"/>
      <c r="AB27" s="116"/>
    </row>
    <row r="28" spans="1:28" ht="25.5" x14ac:dyDescent="0.25">
      <c r="A28" s="28">
        <v>3000016130</v>
      </c>
      <c r="B28" s="112" t="str">
        <f>IFERROR(VLOOKUP(A28,LPU!$B$7:$H$1007,2,FALSE),"")</f>
        <v>CONEXÃO DE EQUIPAMENTOS OU ESTRUTURAS A MALHA DE TERRA</v>
      </c>
      <c r="C28" s="113" t="str">
        <f>IFERROR(VLOOKUP(A28,LPU!$B$7:H1037,3,FALSE),"")</f>
        <v>UN</v>
      </c>
      <c r="D28" s="114">
        <v>670.19</v>
      </c>
      <c r="E28" s="34">
        <v>18</v>
      </c>
      <c r="F28" s="115">
        <f t="shared" si="0"/>
        <v>12063.420000000002</v>
      </c>
      <c r="G28" s="106"/>
      <c r="H28" s="116" t="str">
        <f t="shared" si="10"/>
        <v/>
      </c>
      <c r="I28" s="106">
        <v>2</v>
      </c>
      <c r="J28" s="133">
        <f t="shared" si="11"/>
        <v>1340.38</v>
      </c>
      <c r="K28" s="130">
        <v>2</v>
      </c>
      <c r="L28" s="116">
        <f t="shared" si="2"/>
        <v>1340.38</v>
      </c>
      <c r="M28" s="117">
        <v>29</v>
      </c>
      <c r="N28" s="116">
        <f t="shared" si="3"/>
        <v>19435.510000000002</v>
      </c>
      <c r="O28" s="117"/>
      <c r="P28" s="116"/>
      <c r="Q28" s="117"/>
      <c r="R28" s="116"/>
      <c r="S28" s="117"/>
      <c r="T28" s="116" t="str">
        <f t="shared" si="19"/>
        <v/>
      </c>
      <c r="U28" s="117"/>
      <c r="V28" s="116" t="str">
        <f t="shared" si="20"/>
        <v/>
      </c>
      <c r="W28" s="117"/>
      <c r="X28" s="116" t="str">
        <f t="shared" si="21"/>
        <v/>
      </c>
      <c r="Y28" s="117">
        <f t="shared" si="22"/>
        <v>33</v>
      </c>
      <c r="Z28" s="116"/>
      <c r="AA28" s="118"/>
      <c r="AB28" s="116"/>
    </row>
    <row r="29" spans="1:28" x14ac:dyDescent="0.25">
      <c r="A29" s="28">
        <v>3000017670</v>
      </c>
      <c r="B29" s="112" t="str">
        <f>IFERROR(VLOOKUP(A29,LPU!$B$7:$H$1007,2,FALSE),"")</f>
        <v>MONT. HASTE DE COBRE, COM DIÂMETRO ATÉ 3/4"</v>
      </c>
      <c r="C29" s="113" t="str">
        <f>IFERROR(VLOOKUP(A29,LPU!$B$7:H1040,3,FALSE),"")</f>
        <v>UN</v>
      </c>
      <c r="D29" s="114">
        <f>IFERROR(VLOOKUP(A29,LPU!B39:$H$1007,7,FALSE),"")</f>
        <v>190</v>
      </c>
      <c r="E29" s="34">
        <v>2</v>
      </c>
      <c r="F29" s="115">
        <f t="shared" si="0"/>
        <v>380</v>
      </c>
      <c r="G29" s="106"/>
      <c r="H29" s="116" t="str">
        <f t="shared" si="10"/>
        <v/>
      </c>
      <c r="I29" s="106"/>
      <c r="J29" s="116" t="str">
        <f t="shared" si="11"/>
        <v/>
      </c>
      <c r="K29" s="130"/>
      <c r="L29" s="116" t="str">
        <f t="shared" si="2"/>
        <v/>
      </c>
      <c r="M29" s="117"/>
      <c r="N29" s="116" t="str">
        <f t="shared" si="3"/>
        <v/>
      </c>
      <c r="O29" s="117"/>
      <c r="P29" s="116"/>
      <c r="Q29" s="117"/>
      <c r="R29" s="116"/>
      <c r="S29" s="117"/>
      <c r="T29" s="116" t="str">
        <f t="shared" si="19"/>
        <v/>
      </c>
      <c r="U29" s="117"/>
      <c r="V29" s="116" t="str">
        <f t="shared" si="20"/>
        <v/>
      </c>
      <c r="W29" s="117"/>
      <c r="X29" s="116" t="str">
        <f t="shared" si="21"/>
        <v/>
      </c>
      <c r="Y29" s="117">
        <f t="shared" si="22"/>
        <v>0</v>
      </c>
      <c r="Z29" s="116"/>
      <c r="AA29" s="118"/>
      <c r="AB29" s="116"/>
    </row>
    <row r="30" spans="1:28" x14ac:dyDescent="0.25">
      <c r="A30" s="28">
        <v>5000007387</v>
      </c>
      <c r="B30" s="112" t="str">
        <f>IFERROR(VLOOKUP(A30,LPU!$B$7:$H$1007,2,FALSE),"")</f>
        <v xml:space="preserve">LANC. CABO DE ALUMÍNIO, ATÉ 1000 MCM, </v>
      </c>
      <c r="C30" s="113" t="str">
        <f>IFERROR(VLOOKUP(A30,LPU!$B$7:H1041,3,FALSE),"")</f>
        <v>M</v>
      </c>
      <c r="D30" s="114">
        <v>23.18</v>
      </c>
      <c r="E30" s="34">
        <v>111</v>
      </c>
      <c r="F30" s="115">
        <f t="shared" si="0"/>
        <v>2572.98</v>
      </c>
      <c r="G30" s="106"/>
      <c r="H30" s="116" t="str">
        <f t="shared" si="10"/>
        <v/>
      </c>
      <c r="I30" s="106"/>
      <c r="J30" s="116" t="str">
        <f t="shared" si="11"/>
        <v/>
      </c>
      <c r="K30" s="130">
        <v>111</v>
      </c>
      <c r="L30" s="116">
        <f t="shared" si="2"/>
        <v>2572.98</v>
      </c>
      <c r="M30" s="117"/>
      <c r="N30" s="116" t="str">
        <f t="shared" si="3"/>
        <v/>
      </c>
      <c r="O30" s="117"/>
      <c r="P30" s="116"/>
      <c r="Q30" s="117"/>
      <c r="R30" s="116"/>
      <c r="S30" s="117"/>
      <c r="T30" s="116" t="str">
        <f t="shared" si="19"/>
        <v/>
      </c>
      <c r="U30" s="117"/>
      <c r="V30" s="116" t="str">
        <f t="shared" si="20"/>
        <v/>
      </c>
      <c r="W30" s="117"/>
      <c r="X30" s="116" t="str">
        <f t="shared" si="21"/>
        <v/>
      </c>
      <c r="Y30" s="117">
        <f t="shared" si="22"/>
        <v>111</v>
      </c>
      <c r="Z30" s="116"/>
      <c r="AA30" s="118"/>
      <c r="AB30" s="116"/>
    </row>
    <row r="31" spans="1:28" x14ac:dyDescent="0.25">
      <c r="A31" s="28">
        <v>5000007573</v>
      </c>
      <c r="B31" s="112" t="str">
        <f>IFERROR(VLOOKUP(A31,LPU!$B$7:$H$1007,2,FALSE),"")</f>
        <v>MONT. CADEIA DE ISOLADORES 34,5kV E 69kV</v>
      </c>
      <c r="C31" s="113" t="str">
        <f>IFERROR(VLOOKUP(A31,LPU!$B$7:H1042,3,FALSE),"")</f>
        <v>UN</v>
      </c>
      <c r="D31" s="114">
        <v>526.44000000000005</v>
      </c>
      <c r="E31" s="34">
        <v>6</v>
      </c>
      <c r="F31" s="115">
        <f t="shared" si="0"/>
        <v>3158.6400000000003</v>
      </c>
      <c r="G31" s="106"/>
      <c r="H31" s="116" t="str">
        <f t="shared" si="10"/>
        <v/>
      </c>
      <c r="I31" s="106"/>
      <c r="J31" s="116" t="str">
        <f t="shared" si="11"/>
        <v/>
      </c>
      <c r="K31" s="130">
        <v>6</v>
      </c>
      <c r="L31" s="116">
        <f t="shared" si="2"/>
        <v>3158.6400000000003</v>
      </c>
      <c r="M31" s="117"/>
      <c r="N31" s="116" t="str">
        <f t="shared" si="3"/>
        <v/>
      </c>
      <c r="O31" s="117"/>
      <c r="P31" s="116"/>
      <c r="Q31" s="117"/>
      <c r="R31" s="116"/>
      <c r="S31" s="117"/>
      <c r="T31" s="116" t="str">
        <f t="shared" si="19"/>
        <v/>
      </c>
      <c r="U31" s="117"/>
      <c r="V31" s="116" t="str">
        <f t="shared" si="20"/>
        <v/>
      </c>
      <c r="W31" s="117"/>
      <c r="X31" s="116" t="str">
        <f t="shared" si="21"/>
        <v/>
      </c>
      <c r="Y31" s="117">
        <f t="shared" si="22"/>
        <v>6</v>
      </c>
      <c r="Z31" s="116"/>
      <c r="AA31" s="118"/>
      <c r="AB31" s="116"/>
    </row>
    <row r="32" spans="1:28" x14ac:dyDescent="0.25">
      <c r="A32" s="28">
        <v>3000016113</v>
      </c>
      <c r="B32" s="112" t="str">
        <f>IFERROR(VLOOKUP(A32,LPU!$B$7:$H$1007,2,FALSE),"")</f>
        <v>MONT. ISOLADOR DE PEDESTAL 13,8 KV E 34,5KV</v>
      </c>
      <c r="C32" s="113" t="str">
        <f>IFERROR(VLOOKUP(A32,LPU!$B$7:H1043,3,FALSE),"")</f>
        <v>UN</v>
      </c>
      <c r="D32" s="114">
        <v>222.01</v>
      </c>
      <c r="E32" s="34">
        <v>3</v>
      </c>
      <c r="F32" s="115">
        <f t="shared" si="0"/>
        <v>666.03</v>
      </c>
      <c r="G32" s="106"/>
      <c r="H32" s="116" t="str">
        <f t="shared" si="10"/>
        <v/>
      </c>
      <c r="I32" s="106"/>
      <c r="J32" s="116" t="str">
        <f t="shared" si="11"/>
        <v/>
      </c>
      <c r="K32" s="130"/>
      <c r="L32" s="116" t="str">
        <f t="shared" si="2"/>
        <v/>
      </c>
      <c r="M32" s="117">
        <v>3</v>
      </c>
      <c r="N32" s="116">
        <f t="shared" si="3"/>
        <v>666.03</v>
      </c>
      <c r="O32" s="117"/>
      <c r="P32" s="116"/>
      <c r="Q32" s="117"/>
      <c r="R32" s="116"/>
      <c r="S32" s="117"/>
      <c r="T32" s="116" t="str">
        <f t="shared" si="19"/>
        <v/>
      </c>
      <c r="U32" s="117"/>
      <c r="V32" s="116" t="str">
        <f t="shared" si="20"/>
        <v/>
      </c>
      <c r="W32" s="117"/>
      <c r="X32" s="116" t="str">
        <f t="shared" si="21"/>
        <v/>
      </c>
      <c r="Y32" s="117">
        <f t="shared" si="22"/>
        <v>3</v>
      </c>
      <c r="Z32" s="116"/>
      <c r="AA32" s="118"/>
      <c r="AB32" s="116"/>
    </row>
    <row r="33" spans="1:28" x14ac:dyDescent="0.25">
      <c r="A33" s="28">
        <v>5000011279</v>
      </c>
      <c r="B33" s="112" t="str">
        <f>IFERROR(VLOOKUP(A33,LPU!$B$7:$H$1007,2,FALSE),"")</f>
        <v>INSTALAR PLACA NUMERO COMPONENTE</v>
      </c>
      <c r="C33" s="113" t="str">
        <f>IFERROR(VLOOKUP(A33,LPU!$B$7:H1043,3,FALSE),"")</f>
        <v>UN</v>
      </c>
      <c r="D33" s="114">
        <v>58.06</v>
      </c>
      <c r="E33" s="34">
        <v>9</v>
      </c>
      <c r="F33" s="115">
        <f t="shared" ref="F33" si="23">IFERROR(E33*D33,"")</f>
        <v>522.54</v>
      </c>
      <c r="G33" s="106"/>
      <c r="H33" s="116" t="str">
        <f t="shared" si="10"/>
        <v/>
      </c>
      <c r="I33" s="106"/>
      <c r="J33" s="116" t="str">
        <f t="shared" si="11"/>
        <v/>
      </c>
      <c r="K33" s="130"/>
      <c r="L33" s="116" t="str">
        <f t="shared" si="2"/>
        <v/>
      </c>
      <c r="M33" s="117"/>
      <c r="N33" s="116" t="str">
        <f t="shared" si="3"/>
        <v/>
      </c>
      <c r="O33" s="117"/>
      <c r="P33" s="116"/>
      <c r="Q33" s="117"/>
      <c r="R33" s="116"/>
      <c r="S33" s="117"/>
      <c r="T33" s="116" t="str">
        <f t="shared" si="19"/>
        <v/>
      </c>
      <c r="U33" s="117"/>
      <c r="V33" s="116" t="str">
        <f t="shared" si="20"/>
        <v/>
      </c>
      <c r="W33" s="117"/>
      <c r="X33" s="116" t="str">
        <f t="shared" si="21"/>
        <v/>
      </c>
      <c r="Y33" s="117">
        <f t="shared" si="22"/>
        <v>0</v>
      </c>
      <c r="Z33" s="116"/>
      <c r="AA33" s="118"/>
      <c r="AB33" s="116"/>
    </row>
    <row r="34" spans="1:28" x14ac:dyDescent="0.25">
      <c r="A34" s="28">
        <v>5000011284</v>
      </c>
      <c r="B34" s="112" t="str">
        <f>IFERROR(VLOOKUP(A34,LPU!$B$7:$H$1007,2,FALSE),"")</f>
        <v xml:space="preserve">SERV INST/CONFEC PLACA OPERAC EQUIP SE </v>
      </c>
      <c r="C34" s="113" t="str">
        <f>IFERROR(VLOOKUP(A34,LPU!$B$7:H1044,3,FALSE),"")</f>
        <v>UN</v>
      </c>
      <c r="D34" s="114">
        <v>24.01</v>
      </c>
      <c r="E34" s="34">
        <v>9</v>
      </c>
      <c r="F34" s="115">
        <f t="shared" si="0"/>
        <v>216.09</v>
      </c>
      <c r="G34" s="106"/>
      <c r="H34" s="116" t="str">
        <f t="shared" si="10"/>
        <v/>
      </c>
      <c r="I34" s="106"/>
      <c r="J34" s="116" t="str">
        <f t="shared" si="11"/>
        <v/>
      </c>
      <c r="K34" s="130"/>
      <c r="L34" s="116" t="str">
        <f t="shared" si="2"/>
        <v/>
      </c>
      <c r="M34" s="117">
        <v>21</v>
      </c>
      <c r="N34" s="116">
        <f t="shared" si="3"/>
        <v>504.21000000000004</v>
      </c>
      <c r="O34" s="117"/>
      <c r="P34" s="116"/>
      <c r="Q34" s="117"/>
      <c r="R34" s="116"/>
      <c r="S34" s="117"/>
      <c r="T34" s="116" t="str">
        <f t="shared" si="19"/>
        <v/>
      </c>
      <c r="U34" s="117"/>
      <c r="V34" s="116" t="str">
        <f t="shared" si="20"/>
        <v/>
      </c>
      <c r="W34" s="117"/>
      <c r="X34" s="116" t="str">
        <f t="shared" si="21"/>
        <v/>
      </c>
      <c r="Y34" s="117">
        <f t="shared" si="22"/>
        <v>21</v>
      </c>
      <c r="Z34" s="116"/>
      <c r="AA34" s="118"/>
      <c r="AB34" s="116"/>
    </row>
    <row r="35" spans="1:28" x14ac:dyDescent="0.25">
      <c r="A35" s="28">
        <v>5000011285</v>
      </c>
      <c r="B35" s="112" t="str">
        <f>IFERROR(VLOOKUP(A35,LPU!$B$7:$H$1007,2,FALSE),"")</f>
        <v>INSTALAR CAIXA DE DERIVAÇÃO PARA TC/TP</v>
      </c>
      <c r="C35" s="113" t="str">
        <f>IFERROR(VLOOKUP(A35,LPU!$B$7:H1045,3,FALSE),"")</f>
        <v>UN</v>
      </c>
      <c r="D35" s="114">
        <v>3336.5</v>
      </c>
      <c r="E35" s="34">
        <v>1</v>
      </c>
      <c r="F35" s="115">
        <f t="shared" si="0"/>
        <v>3336.5</v>
      </c>
      <c r="G35" s="106"/>
      <c r="H35" s="116" t="str">
        <f t="shared" si="10"/>
        <v/>
      </c>
      <c r="I35" s="106"/>
      <c r="J35" s="116" t="str">
        <f t="shared" si="11"/>
        <v/>
      </c>
      <c r="K35" s="130"/>
      <c r="L35" s="116" t="str">
        <f t="shared" si="2"/>
        <v/>
      </c>
      <c r="M35" s="117">
        <v>1</v>
      </c>
      <c r="N35" s="116">
        <f t="shared" si="3"/>
        <v>3336.5</v>
      </c>
      <c r="O35" s="117"/>
      <c r="P35" s="116"/>
      <c r="Q35" s="117"/>
      <c r="R35" s="116"/>
      <c r="S35" s="117"/>
      <c r="T35" s="116" t="str">
        <f t="shared" si="19"/>
        <v/>
      </c>
      <c r="U35" s="117"/>
      <c r="V35" s="116" t="str">
        <f t="shared" si="20"/>
        <v/>
      </c>
      <c r="W35" s="117"/>
      <c r="X35" s="116" t="str">
        <f t="shared" si="21"/>
        <v/>
      </c>
      <c r="Y35" s="117">
        <f t="shared" si="22"/>
        <v>1</v>
      </c>
      <c r="Z35" s="116"/>
      <c r="AA35" s="118"/>
      <c r="AB35" s="116"/>
    </row>
    <row r="36" spans="1:28" x14ac:dyDescent="0.25">
      <c r="A36" s="28">
        <v>5000011288</v>
      </c>
      <c r="B36" s="112" t="str">
        <f>IFERROR(VLOOKUP(A36,LPU!$B$7:$H$1007,2,FALSE),"")</f>
        <v>INSTALAR ELETRODUTO DE 1 1/2" ATÉ 2"</v>
      </c>
      <c r="C36" s="113" t="str">
        <f>IFERROR(VLOOKUP(A36,LPU!$B$7:H1046,3,FALSE),"")</f>
        <v>M</v>
      </c>
      <c r="D36" s="114">
        <v>133.33000000000001</v>
      </c>
      <c r="E36" s="34">
        <v>70</v>
      </c>
      <c r="F36" s="115">
        <f t="shared" si="0"/>
        <v>9333.1</v>
      </c>
      <c r="G36" s="106"/>
      <c r="H36" s="116" t="str">
        <f t="shared" si="10"/>
        <v/>
      </c>
      <c r="I36" s="106">
        <v>40</v>
      </c>
      <c r="J36" s="133">
        <f t="shared" si="11"/>
        <v>5333.2000000000007</v>
      </c>
      <c r="K36" s="130"/>
      <c r="L36" s="116" t="str">
        <f t="shared" si="2"/>
        <v/>
      </c>
      <c r="M36" s="117">
        <v>62.6</v>
      </c>
      <c r="N36" s="116">
        <f t="shared" si="3"/>
        <v>8346.4580000000005</v>
      </c>
      <c r="O36" s="117"/>
      <c r="P36" s="116"/>
      <c r="Q36" s="117"/>
      <c r="R36" s="116"/>
      <c r="S36" s="117"/>
      <c r="T36" s="116" t="str">
        <f t="shared" si="19"/>
        <v/>
      </c>
      <c r="U36" s="117"/>
      <c r="V36" s="116" t="str">
        <f t="shared" si="20"/>
        <v/>
      </c>
      <c r="W36" s="117"/>
      <c r="X36" s="116" t="str">
        <f t="shared" si="21"/>
        <v/>
      </c>
      <c r="Y36" s="117">
        <f t="shared" si="22"/>
        <v>102.6</v>
      </c>
      <c r="Z36" s="116"/>
      <c r="AA36" s="118"/>
      <c r="AB36" s="116"/>
    </row>
    <row r="37" spans="1:28" ht="25.5" x14ac:dyDescent="0.25">
      <c r="A37" s="28">
        <v>3000016219</v>
      </c>
      <c r="B37" s="112" t="str">
        <f>IFERROR(VLOOKUP(A37,LPU!$B$7:$H$1007,2,FALSE),"")</f>
        <v>MONT. CHAVE SECCIONADORA MONOFÁSICA 13,8 KV E 34,5KV</v>
      </c>
      <c r="C37" s="113" t="str">
        <f>IFERROR(VLOOKUP(A37,LPU!$B$7:H1047,3,FALSE),"")</f>
        <v>UN</v>
      </c>
      <c r="D37" s="114">
        <v>479.76</v>
      </c>
      <c r="E37" s="34">
        <v>6</v>
      </c>
      <c r="F37" s="115">
        <f t="shared" si="0"/>
        <v>2878.56</v>
      </c>
      <c r="G37" s="106"/>
      <c r="H37" s="116" t="str">
        <f t="shared" si="10"/>
        <v/>
      </c>
      <c r="I37" s="106"/>
      <c r="J37" s="116" t="str">
        <f t="shared" si="11"/>
        <v/>
      </c>
      <c r="K37" s="130"/>
      <c r="L37" s="116" t="str">
        <f t="shared" si="2"/>
        <v/>
      </c>
      <c r="M37" s="117">
        <v>3</v>
      </c>
      <c r="N37" s="116">
        <f t="shared" si="3"/>
        <v>1439.28</v>
      </c>
      <c r="O37" s="117"/>
      <c r="P37" s="116"/>
      <c r="Q37" s="117"/>
      <c r="R37" s="116"/>
      <c r="S37" s="117"/>
      <c r="T37" s="116" t="str">
        <f t="shared" si="19"/>
        <v/>
      </c>
      <c r="U37" s="117"/>
      <c r="V37" s="116" t="str">
        <f t="shared" si="20"/>
        <v/>
      </c>
      <c r="W37" s="117"/>
      <c r="X37" s="116" t="str">
        <f t="shared" si="21"/>
        <v/>
      </c>
      <c r="Y37" s="117">
        <f t="shared" si="22"/>
        <v>3</v>
      </c>
      <c r="Z37" s="116"/>
      <c r="AA37" s="118"/>
      <c r="AB37" s="116"/>
    </row>
    <row r="38" spans="1:28" x14ac:dyDescent="0.25">
      <c r="A38" s="28">
        <v>3000016244</v>
      </c>
      <c r="B38" s="112" t="str">
        <f>IFERROR(VLOOKUP(A38,LPU!$B$7:$H$1007,2,FALSE),"")</f>
        <v>MONT. CHAVE FUSÍVEL UNIPOLAR  13,8 KV E 34,5 KV</v>
      </c>
      <c r="C38" s="113" t="str">
        <f>IFERROR(VLOOKUP(A38,LPU!$B$7:H1048,3,FALSE),"")</f>
        <v>UN</v>
      </c>
      <c r="D38" s="114">
        <v>3878.26</v>
      </c>
      <c r="E38" s="34">
        <v>1</v>
      </c>
      <c r="F38" s="115">
        <f t="shared" si="0"/>
        <v>3878.26</v>
      </c>
      <c r="G38" s="106"/>
      <c r="H38" s="116" t="str">
        <f t="shared" si="10"/>
        <v/>
      </c>
      <c r="I38" s="106"/>
      <c r="J38" s="116" t="str">
        <f t="shared" si="11"/>
        <v/>
      </c>
      <c r="K38" s="130"/>
      <c r="L38" s="116" t="str">
        <f t="shared" si="2"/>
        <v/>
      </c>
      <c r="M38" s="117">
        <v>1</v>
      </c>
      <c r="N38" s="116">
        <f t="shared" si="3"/>
        <v>3878.26</v>
      </c>
      <c r="O38" s="117"/>
      <c r="P38" s="116"/>
      <c r="Q38" s="117"/>
      <c r="R38" s="116"/>
      <c r="S38" s="117"/>
      <c r="T38" s="116" t="str">
        <f t="shared" si="19"/>
        <v/>
      </c>
      <c r="U38" s="117"/>
      <c r="V38" s="116" t="str">
        <f t="shared" si="20"/>
        <v/>
      </c>
      <c r="W38" s="117"/>
      <c r="X38" s="116" t="str">
        <f t="shared" si="21"/>
        <v/>
      </c>
      <c r="Y38" s="117">
        <f t="shared" si="22"/>
        <v>1</v>
      </c>
      <c r="Z38" s="116"/>
      <c r="AA38" s="118"/>
      <c r="AB38" s="116"/>
    </row>
    <row r="39" spans="1:28" x14ac:dyDescent="0.25">
      <c r="A39" s="28">
        <v>5000007613</v>
      </c>
      <c r="B39" s="112" t="str">
        <f>IFERROR(VLOOKUP(A39,LPU!$B$7:$H$1007,2,FALSE),"")</f>
        <v>DEMOLIÇÃO DE MURO COM RETIRADA DA CONCERTINA</v>
      </c>
      <c r="C39" s="113" t="str">
        <f>IFERROR(VLOOKUP(A39,LPU!$B$7:H1049,3,FALSE),"")</f>
        <v>M3</v>
      </c>
      <c r="D39" s="114">
        <f>IFERROR(VLOOKUP(A39,LPU!B49:$H$1007,7,FALSE),"")</f>
        <v>893.3</v>
      </c>
      <c r="E39" s="34">
        <v>2</v>
      </c>
      <c r="F39" s="115">
        <f t="shared" ref="F39" si="24">IFERROR(E39*D39,"")</f>
        <v>1786.6</v>
      </c>
      <c r="G39" s="106"/>
      <c r="H39" s="116" t="str">
        <f t="shared" ref="H39" si="25">IF(G39&gt;0,G39*D39,"")</f>
        <v/>
      </c>
      <c r="I39" s="106"/>
      <c r="J39" s="116" t="str">
        <f t="shared" ref="J39" si="26">IF(I39&gt;0,I39*D39,"")</f>
        <v/>
      </c>
      <c r="K39" s="130"/>
      <c r="L39" s="116" t="str">
        <f t="shared" ref="L39" si="27">IF(K39&gt;0,K39*$D39,"")</f>
        <v/>
      </c>
      <c r="M39" s="117"/>
      <c r="N39" s="116" t="str">
        <f t="shared" si="3"/>
        <v/>
      </c>
      <c r="O39" s="117"/>
      <c r="P39" s="116"/>
      <c r="Q39" s="117"/>
      <c r="R39" s="116"/>
      <c r="S39" s="117"/>
      <c r="T39" s="116" t="str">
        <f t="shared" ref="T39" si="28">IF(S39&gt;0,S39*$D39,"")</f>
        <v/>
      </c>
      <c r="U39" s="117"/>
      <c r="V39" s="116" t="str">
        <f t="shared" ref="V39" si="29">IF(U39&gt;0,U39*$D39,"")</f>
        <v/>
      </c>
      <c r="W39" s="117"/>
      <c r="X39" s="116" t="str">
        <f t="shared" ref="X39" si="30">IF(W39&gt;0,W39*$D39,"")</f>
        <v/>
      </c>
      <c r="Y39" s="117">
        <f t="shared" ref="Y39" si="31">SUM(G39,I39,K39,M39,O39,Q39,S39,U39,W39)</f>
        <v>0</v>
      </c>
      <c r="Z39" s="116"/>
      <c r="AA39" s="118"/>
      <c r="AB39" s="116"/>
    </row>
    <row r="40" spans="1:28" x14ac:dyDescent="0.25">
      <c r="A40" s="104"/>
      <c r="B40" s="9" t="s">
        <v>2005</v>
      </c>
      <c r="C40" s="9" t="str">
        <f>IFERROR(VLOOKUP(A40,LPU!$B$7:H1063,3,FALSE),"")</f>
        <v/>
      </c>
      <c r="D40" s="8" t="str">
        <f>IFERROR(VLOOKUP(A40,LPU!B63:$H$1007,7,FALSE),"")</f>
        <v/>
      </c>
      <c r="E40" s="101"/>
      <c r="F40" s="105" t="str">
        <f t="shared" ref="F40:F42" si="32">IFERROR(E40*D40,"")</f>
        <v/>
      </c>
      <c r="G40" s="110"/>
      <c r="H40" s="110"/>
      <c r="I40" s="111"/>
      <c r="J40" s="111"/>
      <c r="K40" s="111"/>
      <c r="L40" s="108"/>
      <c r="M40" s="111"/>
      <c r="N40" s="108"/>
      <c r="O40" s="111"/>
      <c r="P40" s="108"/>
      <c r="Q40" s="111"/>
      <c r="R40" s="108"/>
      <c r="S40" s="111"/>
      <c r="T40" s="108"/>
      <c r="U40" s="111"/>
      <c r="V40" s="108"/>
      <c r="W40" s="111"/>
      <c r="X40" s="108"/>
      <c r="Y40" s="111"/>
      <c r="Z40" s="108"/>
      <c r="AA40" s="111"/>
      <c r="AB40" s="108"/>
    </row>
    <row r="41" spans="1:28" x14ac:dyDescent="0.25">
      <c r="A41" s="28">
        <v>5000007630</v>
      </c>
      <c r="B41" s="112" t="str">
        <f>IFERROR(VLOOKUP(A41,LPU!$B$7:$H$1007,2,FALSE),"")</f>
        <v xml:space="preserve">MONT. POSTE DE CONCRETO, DE 10 A 14 M, </v>
      </c>
      <c r="C41" s="113" t="str">
        <f>IFERROR(VLOOKUP(A41,LPU!$B$7:H1064,3,FALSE),"")</f>
        <v>UN</v>
      </c>
      <c r="D41" s="114">
        <v>3501.19</v>
      </c>
      <c r="E41" s="128">
        <v>3</v>
      </c>
      <c r="F41" s="115">
        <f t="shared" si="32"/>
        <v>10503.57</v>
      </c>
      <c r="G41" s="106"/>
      <c r="H41" s="116" t="str">
        <f t="shared" ref="H41:H60" si="33">IF(G41&gt;0,G41*D41,"")</f>
        <v/>
      </c>
      <c r="I41" s="106">
        <v>2</v>
      </c>
      <c r="J41" s="133">
        <f t="shared" ref="J41:J43" si="34">IF(I41&gt;0,I41*D41,"")</f>
        <v>7002.38</v>
      </c>
      <c r="K41" s="130"/>
      <c r="L41" s="116" t="str">
        <f t="shared" si="2"/>
        <v/>
      </c>
      <c r="M41" s="117"/>
      <c r="N41" s="116" t="str">
        <f t="shared" si="3"/>
        <v/>
      </c>
      <c r="O41" s="117"/>
      <c r="P41" s="116"/>
      <c r="Q41" s="117"/>
      <c r="R41" s="116"/>
      <c r="S41" s="117"/>
      <c r="T41" s="116" t="str">
        <f t="shared" ref="T41:T48" si="35">IF(S41&gt;0,S41*$D41,"")</f>
        <v/>
      </c>
      <c r="U41" s="117"/>
      <c r="V41" s="116" t="str">
        <f t="shared" ref="V41:V48" si="36">IF(U41&gt;0,U41*$D41,"")</f>
        <v/>
      </c>
      <c r="W41" s="117"/>
      <c r="X41" s="116" t="str">
        <f t="shared" ref="X41:X48" si="37">IF(W41&gt;0,W41*$D41,"")</f>
        <v/>
      </c>
      <c r="Y41" s="117">
        <f t="shared" ref="Y41:Y48" si="38">SUM(G41,I41,K41,M41,O41,Q41,S41,U41,W41)</f>
        <v>2</v>
      </c>
      <c r="Z41" s="116"/>
      <c r="AA41" s="118"/>
      <c r="AB41" s="116"/>
    </row>
    <row r="42" spans="1:28" x14ac:dyDescent="0.25">
      <c r="A42" s="28">
        <v>5000007652</v>
      </c>
      <c r="B42" s="112" t="str">
        <f>IFERROR(VLOOKUP(A42,LPU!$B$7:$H$1007,2,FALSE),"")</f>
        <v>MONT. COLUNA E VIGA METÁLICA TRELIÇADA,</v>
      </c>
      <c r="C42" s="113" t="str">
        <f>IFERROR(VLOOKUP(A42,LPU!$B$7:H1065,3,FALSE),"")</f>
        <v>KG</v>
      </c>
      <c r="D42" s="114">
        <v>8.65</v>
      </c>
      <c r="E42" s="128">
        <v>670.68</v>
      </c>
      <c r="F42" s="115">
        <f t="shared" si="32"/>
        <v>5801.3819999999996</v>
      </c>
      <c r="G42" s="106"/>
      <c r="H42" s="116" t="str">
        <f t="shared" si="33"/>
        <v/>
      </c>
      <c r="I42" s="106"/>
      <c r="J42" s="116" t="str">
        <f t="shared" si="34"/>
        <v/>
      </c>
      <c r="K42" s="130">
        <v>670.68</v>
      </c>
      <c r="L42" s="116">
        <f t="shared" si="2"/>
        <v>5801.3819999999996</v>
      </c>
      <c r="M42" s="117"/>
      <c r="N42" s="116" t="str">
        <f t="shared" si="3"/>
        <v/>
      </c>
      <c r="O42" s="117"/>
      <c r="P42" s="116"/>
      <c r="Q42" s="117"/>
      <c r="R42" s="116"/>
      <c r="S42" s="117"/>
      <c r="T42" s="116" t="str">
        <f t="shared" si="35"/>
        <v/>
      </c>
      <c r="U42" s="117"/>
      <c r="V42" s="116" t="str">
        <f t="shared" si="36"/>
        <v/>
      </c>
      <c r="W42" s="117"/>
      <c r="X42" s="116" t="str">
        <f t="shared" si="37"/>
        <v/>
      </c>
      <c r="Y42" s="117">
        <f t="shared" si="38"/>
        <v>670.68</v>
      </c>
      <c r="Z42" s="116"/>
      <c r="AA42" s="118"/>
      <c r="AB42" s="116"/>
    </row>
    <row r="43" spans="1:28" x14ac:dyDescent="0.25">
      <c r="A43" s="28">
        <v>3000018693</v>
      </c>
      <c r="B43" s="112" t="str">
        <f>IFERROR(VLOOKUP(A43,LPU!$B$7:$H$1007,2,FALSE),"")</f>
        <v>BASE TRAFO SERVIÇO AUXILIAR - G-0-0-PJ-PB-79</v>
      </c>
      <c r="C43" s="113" t="str">
        <f>IFERROR(VLOOKUP(A43,LPU!$B$7:H1066,3,FALSE),"")</f>
        <v>UN</v>
      </c>
      <c r="D43" s="114">
        <v>3617.16</v>
      </c>
      <c r="E43" s="128">
        <v>1</v>
      </c>
      <c r="F43" s="115">
        <f t="shared" ref="F43:F48" si="39">IFERROR(E43*D43,"")</f>
        <v>3617.16</v>
      </c>
      <c r="G43" s="106">
        <v>1</v>
      </c>
      <c r="H43" s="116">
        <f t="shared" si="33"/>
        <v>3617.16</v>
      </c>
      <c r="I43" s="106"/>
      <c r="J43" s="116" t="str">
        <f t="shared" si="34"/>
        <v/>
      </c>
      <c r="K43" s="130"/>
      <c r="L43" s="116" t="str">
        <f t="shared" si="2"/>
        <v/>
      </c>
      <c r="M43" s="117"/>
      <c r="N43" s="116" t="str">
        <f t="shared" si="3"/>
        <v/>
      </c>
      <c r="O43" s="117"/>
      <c r="P43" s="116"/>
      <c r="Q43" s="117"/>
      <c r="R43" s="116"/>
      <c r="S43" s="117"/>
      <c r="T43" s="116" t="str">
        <f t="shared" si="35"/>
        <v/>
      </c>
      <c r="U43" s="117"/>
      <c r="V43" s="116" t="str">
        <f t="shared" si="36"/>
        <v/>
      </c>
      <c r="W43" s="117"/>
      <c r="X43" s="116" t="str">
        <f t="shared" si="37"/>
        <v/>
      </c>
      <c r="Y43" s="117">
        <f t="shared" si="38"/>
        <v>1</v>
      </c>
      <c r="Z43" s="116"/>
      <c r="AA43" s="118"/>
      <c r="AB43" s="116"/>
    </row>
    <row r="44" spans="1:28" x14ac:dyDescent="0.25">
      <c r="A44" s="28">
        <v>5000011231</v>
      </c>
      <c r="B44" s="112" t="str">
        <f>IFERROR(VLOOKUP(A44,LPU!$B$7:$H$1007,2,FALSE),"")</f>
        <v>EXECUTAR CAIXA DE PASSAGEM 600MM X 600MM</v>
      </c>
      <c r="C44" s="113" t="str">
        <f>IFERROR(VLOOKUP(A44,LPU!$B$7:H1067,3,FALSE),"")</f>
        <v>UN</v>
      </c>
      <c r="D44" s="114">
        <v>2301.0300000000002</v>
      </c>
      <c r="E44" s="128">
        <v>2</v>
      </c>
      <c r="F44" s="115">
        <f t="shared" si="39"/>
        <v>4602.0600000000004</v>
      </c>
      <c r="G44" s="106"/>
      <c r="H44" s="116" t="str">
        <f t="shared" si="33"/>
        <v/>
      </c>
      <c r="I44" s="106">
        <v>1</v>
      </c>
      <c r="J44" s="133">
        <f t="shared" ref="J44:J45" si="40">IF(I44&gt;0,I44*D44,"")</f>
        <v>2301.0300000000002</v>
      </c>
      <c r="K44" s="130">
        <v>2</v>
      </c>
      <c r="L44" s="116">
        <f t="shared" si="2"/>
        <v>4602.0600000000004</v>
      </c>
      <c r="M44" s="117"/>
      <c r="N44" s="116" t="str">
        <f t="shared" si="3"/>
        <v/>
      </c>
      <c r="O44" s="117"/>
      <c r="P44" s="116"/>
      <c r="Q44" s="117"/>
      <c r="R44" s="116"/>
      <c r="S44" s="117"/>
      <c r="T44" s="116" t="str">
        <f t="shared" si="35"/>
        <v/>
      </c>
      <c r="U44" s="117"/>
      <c r="V44" s="116" t="str">
        <f t="shared" si="36"/>
        <v/>
      </c>
      <c r="W44" s="117"/>
      <c r="X44" s="116" t="str">
        <f t="shared" si="37"/>
        <v/>
      </c>
      <c r="Y44" s="117">
        <f t="shared" si="38"/>
        <v>3</v>
      </c>
      <c r="Z44" s="116"/>
      <c r="AA44" s="118"/>
      <c r="AB44" s="116"/>
    </row>
    <row r="45" spans="1:28" x14ac:dyDescent="0.25">
      <c r="A45" s="28">
        <v>3000016312</v>
      </c>
      <c r="B45" s="112" t="str">
        <f>IFERROR(VLOOKUP(A45,LPU!$B$7:$H$1007,2,FALSE),"")</f>
        <v>FORNECIM. DE MATERIAIS MENORES ELETRICOS</v>
      </c>
      <c r="C45" s="113" t="str">
        <f>IFERROR(VLOOKUP(A45,LPU!$B$7:H1068,3,FALSE),"")</f>
        <v>CJ</v>
      </c>
      <c r="D45" s="114">
        <f>IFERROR(VLOOKUP(A45,LPU!B68:$H$1007,7,FALSE),"")</f>
        <v>1.6</v>
      </c>
      <c r="E45" s="128">
        <v>5000</v>
      </c>
      <c r="F45" s="115">
        <f t="shared" si="39"/>
        <v>8000</v>
      </c>
      <c r="G45" s="106"/>
      <c r="H45" s="116" t="str">
        <f t="shared" si="33"/>
        <v/>
      </c>
      <c r="I45" s="106"/>
      <c r="J45" s="116" t="str">
        <f t="shared" si="40"/>
        <v/>
      </c>
      <c r="K45" s="130">
        <v>1897.69</v>
      </c>
      <c r="L45" s="116">
        <f t="shared" si="2"/>
        <v>3036.3040000000001</v>
      </c>
      <c r="M45" s="117"/>
      <c r="N45" s="116" t="str">
        <f t="shared" si="3"/>
        <v/>
      </c>
      <c r="O45" s="117"/>
      <c r="P45" s="116"/>
      <c r="Q45" s="117"/>
      <c r="R45" s="116"/>
      <c r="S45" s="117"/>
      <c r="T45" s="116" t="str">
        <f t="shared" si="35"/>
        <v/>
      </c>
      <c r="U45" s="117"/>
      <c r="V45" s="116" t="str">
        <f t="shared" si="36"/>
        <v/>
      </c>
      <c r="W45" s="117"/>
      <c r="X45" s="116" t="str">
        <f t="shared" si="37"/>
        <v/>
      </c>
      <c r="Y45" s="117">
        <f t="shared" si="38"/>
        <v>1897.69</v>
      </c>
      <c r="Z45" s="116"/>
      <c r="AA45" s="118"/>
      <c r="AB45" s="116"/>
    </row>
    <row r="46" spans="1:28" ht="23.25" customHeight="1" x14ac:dyDescent="0.25">
      <c r="A46" s="28">
        <v>5000007406</v>
      </c>
      <c r="B46" s="112" t="str">
        <f>IFERROR(VLOOKUP(A46,LPU!$B$7:$H$1007,2,FALSE),"")</f>
        <v>4 DUTOS Ø 110MM - G-0-0-PJ-AJ-29</v>
      </c>
      <c r="C46" s="113" t="str">
        <f>IFERROR(VLOOKUP(A46,LPU!$B$7:H1069,3,FALSE),"")</f>
        <v>M</v>
      </c>
      <c r="D46" s="114">
        <v>926.15</v>
      </c>
      <c r="E46" s="128">
        <v>50</v>
      </c>
      <c r="F46" s="115">
        <f t="shared" si="39"/>
        <v>46307.5</v>
      </c>
      <c r="G46" s="106"/>
      <c r="H46" s="116" t="str">
        <f t="shared" si="33"/>
        <v/>
      </c>
      <c r="I46" s="106"/>
      <c r="J46" s="116"/>
      <c r="K46" s="130">
        <v>30</v>
      </c>
      <c r="L46" s="116">
        <f t="shared" si="2"/>
        <v>27784.5</v>
      </c>
      <c r="M46" s="117"/>
      <c r="N46" s="116" t="str">
        <f t="shared" si="3"/>
        <v/>
      </c>
      <c r="O46" s="117"/>
      <c r="P46" s="116"/>
      <c r="Q46" s="117"/>
      <c r="R46" s="116"/>
      <c r="S46" s="117"/>
      <c r="T46" s="116" t="str">
        <f t="shared" si="35"/>
        <v/>
      </c>
      <c r="U46" s="117"/>
      <c r="V46" s="116" t="str">
        <f t="shared" si="36"/>
        <v/>
      </c>
      <c r="W46" s="117"/>
      <c r="X46" s="116" t="str">
        <f t="shared" si="37"/>
        <v/>
      </c>
      <c r="Y46" s="117">
        <f t="shared" si="38"/>
        <v>30</v>
      </c>
      <c r="Z46" s="116"/>
      <c r="AA46" s="118"/>
      <c r="AB46" s="116"/>
    </row>
    <row r="47" spans="1:28" ht="23.25" customHeight="1" x14ac:dyDescent="0.25">
      <c r="A47" s="28">
        <v>5000007594</v>
      </c>
      <c r="B47" s="112" t="str">
        <f>IFERROR(VLOOKUP(A47,LPU!$B$7:$H$1007,2,FALSE),"")</f>
        <v xml:space="preserve">MONT. TRAFO DE SERVIÇO AUXILIAR EM 13,8 KV E 34,5 KV, </v>
      </c>
      <c r="C47" s="113" t="str">
        <f>IFERROR(VLOOKUP(A47,LPU!$B$7:H1070,3,FALSE),"")</f>
        <v>UN</v>
      </c>
      <c r="D47" s="114">
        <v>5583.15</v>
      </c>
      <c r="E47" s="128">
        <v>1</v>
      </c>
      <c r="F47" s="115">
        <f t="shared" si="39"/>
        <v>5583.15</v>
      </c>
      <c r="G47" s="106"/>
      <c r="H47" s="116" t="str">
        <f t="shared" si="33"/>
        <v/>
      </c>
      <c r="I47" s="106"/>
      <c r="J47" s="116"/>
      <c r="K47" s="130">
        <v>1</v>
      </c>
      <c r="L47" s="116">
        <f t="shared" si="2"/>
        <v>5583.15</v>
      </c>
      <c r="M47" s="117"/>
      <c r="N47" s="116" t="str">
        <f t="shared" si="3"/>
        <v/>
      </c>
      <c r="O47" s="117"/>
      <c r="P47" s="116"/>
      <c r="Q47" s="117"/>
      <c r="R47" s="116"/>
      <c r="S47" s="117"/>
      <c r="T47" s="116" t="str">
        <f t="shared" si="35"/>
        <v/>
      </c>
      <c r="U47" s="117"/>
      <c r="V47" s="116" t="str">
        <f t="shared" si="36"/>
        <v/>
      </c>
      <c r="W47" s="117"/>
      <c r="X47" s="116" t="str">
        <f t="shared" si="37"/>
        <v/>
      </c>
      <c r="Y47" s="117">
        <f t="shared" si="38"/>
        <v>1</v>
      </c>
      <c r="Z47" s="116"/>
      <c r="AA47" s="118"/>
      <c r="AB47" s="116"/>
    </row>
    <row r="48" spans="1:28" x14ac:dyDescent="0.25">
      <c r="A48" s="28">
        <v>5000011286</v>
      </c>
      <c r="B48" s="112" t="str">
        <f>IFERROR(VLOOKUP(A48,LPU!$B$7:$H$1007,2,FALSE),"")</f>
        <v>INSTALAR ELETRODUTO ACIMA DE 2"</v>
      </c>
      <c r="C48" s="113" t="str">
        <f>IFERROR(VLOOKUP(A48,LPU!$B$7:H1071,3,FALSE),"")</f>
        <v>M</v>
      </c>
      <c r="D48" s="114">
        <v>156.35</v>
      </c>
      <c r="E48" s="128">
        <v>3</v>
      </c>
      <c r="F48" s="115">
        <f t="shared" si="39"/>
        <v>469.04999999999995</v>
      </c>
      <c r="G48" s="106"/>
      <c r="H48" s="116" t="str">
        <f t="shared" si="33"/>
        <v/>
      </c>
      <c r="I48" s="106"/>
      <c r="J48" s="116"/>
      <c r="K48" s="130">
        <v>3</v>
      </c>
      <c r="L48" s="116">
        <f t="shared" si="2"/>
        <v>469.04999999999995</v>
      </c>
      <c r="M48" s="117"/>
      <c r="N48" s="116" t="str">
        <f t="shared" si="3"/>
        <v/>
      </c>
      <c r="O48" s="117"/>
      <c r="P48" s="116"/>
      <c r="Q48" s="117"/>
      <c r="R48" s="116"/>
      <c r="S48" s="117"/>
      <c r="T48" s="116" t="str">
        <f t="shared" si="35"/>
        <v/>
      </c>
      <c r="U48" s="117"/>
      <c r="V48" s="116" t="str">
        <f t="shared" si="36"/>
        <v/>
      </c>
      <c r="W48" s="117"/>
      <c r="X48" s="116" t="str">
        <f t="shared" si="37"/>
        <v/>
      </c>
      <c r="Y48" s="117">
        <f t="shared" si="38"/>
        <v>3</v>
      </c>
      <c r="Z48" s="116"/>
      <c r="AA48" s="118"/>
      <c r="AB48" s="116"/>
    </row>
    <row r="49" spans="1:28" x14ac:dyDescent="0.25">
      <c r="A49" s="28">
        <v>5000011270</v>
      </c>
      <c r="B49" s="112" t="str">
        <f>IFERROR(VLOOKUP(A49,LPU!$B$7:$H$1007,2,FALSE),"")</f>
        <v xml:space="preserve">MONT. POSTE DE CONCRETO, DE 5 A 10 M, </v>
      </c>
      <c r="C49" s="113" t="str">
        <f>IFERROR(VLOOKUP(A49,LPU!$B$7:H1072,3,FALSE),"")</f>
        <v>UN</v>
      </c>
      <c r="D49" s="114">
        <v>1973.61</v>
      </c>
      <c r="E49" s="128">
        <v>1</v>
      </c>
      <c r="F49" s="115">
        <f t="shared" ref="F49:F50" si="41">IFERROR(E49*D49,"")</f>
        <v>1973.61</v>
      </c>
      <c r="G49" s="106"/>
      <c r="H49" s="116" t="str">
        <f t="shared" si="33"/>
        <v/>
      </c>
      <c r="I49" s="106"/>
      <c r="J49" s="116"/>
      <c r="K49" s="130">
        <v>1</v>
      </c>
      <c r="L49" s="116">
        <f t="shared" si="2"/>
        <v>1973.61</v>
      </c>
      <c r="M49" s="117"/>
      <c r="N49" s="116" t="str">
        <f t="shared" si="3"/>
        <v/>
      </c>
      <c r="O49" s="117"/>
      <c r="P49" s="116"/>
      <c r="Q49" s="117"/>
      <c r="R49" s="116"/>
      <c r="S49" s="117"/>
      <c r="T49" s="116" t="str">
        <f t="shared" ref="T49:T50" si="42">IF(S49&gt;0,S49*$D49,"")</f>
        <v/>
      </c>
      <c r="U49" s="117"/>
      <c r="V49" s="116" t="str">
        <f t="shared" ref="V49:V50" si="43">IF(U49&gt;0,U49*$D49,"")</f>
        <v/>
      </c>
      <c r="W49" s="117"/>
      <c r="X49" s="116" t="str">
        <f t="shared" ref="X49:X50" si="44">IF(W49&gt;0,W49*$D49,"")</f>
        <v/>
      </c>
      <c r="Y49" s="117">
        <f t="shared" ref="Y49:Y50" si="45">SUM(G49,I49,K49,M49,O49,Q49,S49,U49,W49)</f>
        <v>1</v>
      </c>
      <c r="Z49" s="116"/>
      <c r="AA49" s="118"/>
      <c r="AB49" s="116"/>
    </row>
    <row r="50" spans="1:28" x14ac:dyDescent="0.25">
      <c r="A50" s="134">
        <v>5000006701</v>
      </c>
      <c r="B50" s="112" t="str">
        <f>IFERROR(VLOOKUP(A50,LPU!$B$7:$H$1007,2,FALSE),"")</f>
        <v xml:space="preserve">DMONT. CABO ISOLADO 1 KV, ATÉ 240 MM², </v>
      </c>
      <c r="C50" s="113" t="str">
        <f>IFERROR(VLOOKUP(A50,LPU!$B$7:H1073,3,FALSE),"")</f>
        <v>M</v>
      </c>
      <c r="D50" s="114">
        <v>12.59</v>
      </c>
      <c r="E50" s="128">
        <v>60</v>
      </c>
      <c r="F50" s="115">
        <f t="shared" si="41"/>
        <v>755.4</v>
      </c>
      <c r="G50" s="106"/>
      <c r="H50" s="116" t="str">
        <f t="shared" si="33"/>
        <v/>
      </c>
      <c r="I50" s="106"/>
      <c r="J50" s="116"/>
      <c r="K50" s="130"/>
      <c r="L50" s="116" t="str">
        <f t="shared" si="2"/>
        <v/>
      </c>
      <c r="M50" s="117">
        <v>60</v>
      </c>
      <c r="N50" s="116">
        <f t="shared" si="3"/>
        <v>755.4</v>
      </c>
      <c r="O50" s="117"/>
      <c r="P50" s="116"/>
      <c r="Q50" s="117"/>
      <c r="R50" s="116"/>
      <c r="S50" s="117"/>
      <c r="T50" s="116" t="str">
        <f t="shared" si="42"/>
        <v/>
      </c>
      <c r="U50" s="117"/>
      <c r="V50" s="116" t="str">
        <f t="shared" si="43"/>
        <v/>
      </c>
      <c r="W50" s="117"/>
      <c r="X50" s="116" t="str">
        <f t="shared" si="44"/>
        <v/>
      </c>
      <c r="Y50" s="117">
        <f t="shared" si="45"/>
        <v>60</v>
      </c>
      <c r="Z50" s="116"/>
      <c r="AA50" s="118"/>
      <c r="AB50" s="116"/>
    </row>
    <row r="51" spans="1:28" x14ac:dyDescent="0.25">
      <c r="A51" s="134">
        <v>3000017839</v>
      </c>
      <c r="B51" s="112" t="str">
        <f>IFERROR(VLOOKUP(A51,LPU!$B$7:$H$1007,2,FALSE),"")</f>
        <v xml:space="preserve">LANC. CABO ISOLADO 1KV, ATÉ 240 MM², </v>
      </c>
      <c r="C51" s="113" t="str">
        <f>IFERROR(VLOOKUP(A51,LPU!$B$7:H1074,3,FALSE),"")</f>
        <v>M</v>
      </c>
      <c r="D51" s="114">
        <v>27.62</v>
      </c>
      <c r="E51" s="128">
        <v>20</v>
      </c>
      <c r="F51" s="115">
        <f t="shared" ref="F51" si="46">IFERROR(E51*D51,"")</f>
        <v>552.4</v>
      </c>
      <c r="G51" s="106"/>
      <c r="H51" s="116" t="str">
        <f t="shared" si="33"/>
        <v/>
      </c>
      <c r="I51" s="106"/>
      <c r="J51" s="116"/>
      <c r="K51" s="130"/>
      <c r="L51" s="116" t="str">
        <f>IF(K51&gt;0,K51*$D51,"")</f>
        <v/>
      </c>
      <c r="M51" s="117">
        <v>20</v>
      </c>
      <c r="N51" s="116">
        <f t="shared" si="3"/>
        <v>552.4</v>
      </c>
      <c r="O51" s="117"/>
      <c r="P51" s="116"/>
      <c r="Q51" s="117"/>
      <c r="R51" s="116"/>
      <c r="S51" s="117"/>
      <c r="T51" s="116" t="str">
        <f t="shared" ref="T51" si="47">IF(S51&gt;0,S51*$D51,"")</f>
        <v/>
      </c>
      <c r="U51" s="117"/>
      <c r="V51" s="116" t="str">
        <f t="shared" ref="V51" si="48">IF(U51&gt;0,U51*$D51,"")</f>
        <v/>
      </c>
      <c r="W51" s="117"/>
      <c r="X51" s="116" t="str">
        <f t="shared" ref="X51" si="49">IF(W51&gt;0,W51*$D51,"")</f>
        <v/>
      </c>
      <c r="Y51" s="117">
        <f t="shared" ref="Y51" si="50">SUM(G51,I51,K51,M51,O51,Q51,S51,U51,W51)</f>
        <v>20</v>
      </c>
      <c r="Z51" s="116"/>
      <c r="AA51" s="118"/>
      <c r="AB51" s="116"/>
    </row>
    <row r="52" spans="1:28" x14ac:dyDescent="0.25">
      <c r="A52" s="134">
        <v>3000016133</v>
      </c>
      <c r="B52" s="112" t="str">
        <f>IFERROR(VLOOKUP(A52,LPU!$B$7:$H$1007,2,FALSE),"")</f>
        <v>DMONT. ISOLADOR DE PEDESTAL 34,5KV</v>
      </c>
      <c r="C52" s="113" t="str">
        <f>IFERROR(VLOOKUP(A52,LPU!$B$7:H1075,3,FALSE),"")</f>
        <v>UN</v>
      </c>
      <c r="D52" s="114">
        <v>175.86</v>
      </c>
      <c r="E52" s="128">
        <v>3</v>
      </c>
      <c r="F52" s="115">
        <f t="shared" ref="F52" si="51">IFERROR(E52*D52,"")</f>
        <v>527.58000000000004</v>
      </c>
      <c r="G52" s="106"/>
      <c r="H52" s="116" t="str">
        <f t="shared" si="33"/>
        <v/>
      </c>
      <c r="I52" s="106"/>
      <c r="J52" s="116"/>
      <c r="K52" s="130"/>
      <c r="L52" s="116"/>
      <c r="M52" s="117"/>
      <c r="N52" s="116" t="str">
        <f t="shared" si="3"/>
        <v/>
      </c>
      <c r="O52" s="117"/>
      <c r="P52" s="116"/>
      <c r="Q52" s="117"/>
      <c r="R52" s="116"/>
      <c r="S52" s="117"/>
      <c r="T52" s="116" t="str">
        <f t="shared" ref="T52" si="52">IF(S52&gt;0,S52*$D52,"")</f>
        <v/>
      </c>
      <c r="U52" s="117"/>
      <c r="V52" s="116" t="str">
        <f t="shared" ref="V52" si="53">IF(U52&gt;0,U52*$D52,"")</f>
        <v/>
      </c>
      <c r="W52" s="117"/>
      <c r="X52" s="116" t="str">
        <f t="shared" ref="X52" si="54">IF(W52&gt;0,W52*$D52,"")</f>
        <v/>
      </c>
      <c r="Y52" s="117">
        <f t="shared" ref="Y52" si="55">SUM(G52,I52,K52,M52,O52,Q52,S52,U52,W52)</f>
        <v>0</v>
      </c>
      <c r="Z52" s="116"/>
      <c r="AA52" s="118"/>
      <c r="AB52" s="116"/>
    </row>
    <row r="53" spans="1:28" x14ac:dyDescent="0.25">
      <c r="A53" s="134">
        <v>3000016249</v>
      </c>
      <c r="B53" s="112" t="str">
        <f>IFERROR(VLOOKUP(A53,LPU!$B$7:$H$1007,2,FALSE),"")</f>
        <v xml:space="preserve">DMONT. CHAVE FUSÍVEL UNIPOLAR, 13,8 KV E 34,5 KV, </v>
      </c>
      <c r="C53" s="113" t="str">
        <f>IFERROR(VLOOKUP(A53,LPU!$B$7:H1076,3,FALSE),"")</f>
        <v>UN</v>
      </c>
      <c r="D53" s="114">
        <v>2185.4899999999998</v>
      </c>
      <c r="E53" s="128">
        <v>1</v>
      </c>
      <c r="F53" s="115">
        <f t="shared" ref="F53:F54" si="56">IFERROR(E53*D53,"")</f>
        <v>2185.4899999999998</v>
      </c>
      <c r="G53" s="106"/>
      <c r="H53" s="116" t="str">
        <f t="shared" si="33"/>
        <v/>
      </c>
      <c r="I53" s="106"/>
      <c r="J53" s="116"/>
      <c r="K53" s="130"/>
      <c r="L53" s="116"/>
      <c r="M53" s="117">
        <v>1</v>
      </c>
      <c r="N53" s="116">
        <f t="shared" si="3"/>
        <v>2185.4899999999998</v>
      </c>
      <c r="O53" s="117"/>
      <c r="P53" s="116"/>
      <c r="Q53" s="117"/>
      <c r="R53" s="116"/>
      <c r="S53" s="117"/>
      <c r="T53" s="116" t="str">
        <f t="shared" ref="T53:T54" si="57">IF(S53&gt;0,S53*$D53,"")</f>
        <v/>
      </c>
      <c r="U53" s="117"/>
      <c r="V53" s="116" t="str">
        <f t="shared" ref="V53:V54" si="58">IF(U53&gt;0,U53*$D53,"")</f>
        <v/>
      </c>
      <c r="W53" s="117"/>
      <c r="X53" s="116" t="str">
        <f t="shared" ref="X53:X54" si="59">IF(W53&gt;0,W53*$D53,"")</f>
        <v/>
      </c>
      <c r="Y53" s="117">
        <f t="shared" ref="Y53:Y54" si="60">SUM(G53,I53,K53,M53,O53,Q53,S53,U53,W53)</f>
        <v>1</v>
      </c>
      <c r="Z53" s="116"/>
      <c r="AA53" s="118"/>
      <c r="AB53" s="116"/>
    </row>
    <row r="54" spans="1:28" x14ac:dyDescent="0.25">
      <c r="A54" s="134">
        <v>5000011306</v>
      </c>
      <c r="B54" s="112" t="str">
        <f>IFERROR(VLOOKUP(A54,LPU!$B$7:$H$1007,2,FALSE),"")</f>
        <v xml:space="preserve">DMONT. TRAFO DE SERV. AUX. ATÉ 34,5 KV, </v>
      </c>
      <c r="C54" s="113" t="str">
        <f>IFERROR(VLOOKUP(A54,LPU!$B$7:H1077,3,FALSE),"")</f>
        <v>UN</v>
      </c>
      <c r="D54" s="114">
        <v>2885.89</v>
      </c>
      <c r="E54" s="128">
        <v>1</v>
      </c>
      <c r="F54" s="115">
        <f t="shared" si="56"/>
        <v>2885.89</v>
      </c>
      <c r="G54" s="106"/>
      <c r="H54" s="116" t="str">
        <f t="shared" si="33"/>
        <v/>
      </c>
      <c r="I54" s="106"/>
      <c r="J54" s="116"/>
      <c r="K54" s="130"/>
      <c r="L54" s="116"/>
      <c r="M54" s="117">
        <v>1</v>
      </c>
      <c r="N54" s="116">
        <f t="shared" si="3"/>
        <v>2885.89</v>
      </c>
      <c r="O54" s="117"/>
      <c r="P54" s="116"/>
      <c r="Q54" s="117"/>
      <c r="R54" s="116"/>
      <c r="S54" s="117"/>
      <c r="T54" s="116" t="str">
        <f t="shared" si="57"/>
        <v/>
      </c>
      <c r="U54" s="117"/>
      <c r="V54" s="116" t="str">
        <f t="shared" si="58"/>
        <v/>
      </c>
      <c r="W54" s="117"/>
      <c r="X54" s="116" t="str">
        <f t="shared" si="59"/>
        <v/>
      </c>
      <c r="Y54" s="117">
        <f t="shared" si="60"/>
        <v>1</v>
      </c>
      <c r="Z54" s="116"/>
      <c r="AA54" s="118"/>
      <c r="AB54" s="116"/>
    </row>
    <row r="55" spans="1:28" x14ac:dyDescent="0.25">
      <c r="A55" s="134">
        <v>3000016275</v>
      </c>
      <c r="B55" s="112" t="str">
        <f>IFERROR(VLOOKUP(A55,LPU!$B$7:$H$1007,2,FALSE),"")</f>
        <v>MONT. DISJUNTOR TRIPOLAR 13,8 KV E 34,5KV</v>
      </c>
      <c r="C55" s="113" t="str">
        <f>IFERROR(VLOOKUP(A55,LPU!$B$7:H1078,3,FALSE),"")</f>
        <v>UN</v>
      </c>
      <c r="D55" s="114">
        <v>7506.02</v>
      </c>
      <c r="E55" s="128">
        <v>1</v>
      </c>
      <c r="F55" s="115">
        <f t="shared" ref="F55:F59" si="61">IFERROR(E55*D55,"")</f>
        <v>7506.02</v>
      </c>
      <c r="G55" s="106"/>
      <c r="H55" s="116" t="str">
        <f t="shared" ref="H55:H59" si="62">IF(G55&gt;0,G55*D55,"")</f>
        <v/>
      </c>
      <c r="I55" s="106"/>
      <c r="J55" s="116"/>
      <c r="K55" s="130"/>
      <c r="L55" s="116"/>
      <c r="M55" s="117">
        <v>2</v>
      </c>
      <c r="N55" s="116">
        <f t="shared" ref="N55" si="63">IF(M55&gt;0,M55*$D55,"")</f>
        <v>15012.04</v>
      </c>
      <c r="O55" s="117"/>
      <c r="P55" s="116"/>
      <c r="Q55" s="117"/>
      <c r="R55" s="116"/>
      <c r="S55" s="117"/>
      <c r="T55" s="116" t="str">
        <f t="shared" ref="T55" si="64">IF(S55&gt;0,S55*$D55,"")</f>
        <v/>
      </c>
      <c r="U55" s="117"/>
      <c r="V55" s="116" t="str">
        <f t="shared" ref="V55" si="65">IF(U55&gt;0,U55*$D55,"")</f>
        <v/>
      </c>
      <c r="W55" s="117"/>
      <c r="X55" s="116" t="str">
        <f t="shared" ref="X55" si="66">IF(W55&gt;0,W55*$D55,"")</f>
        <v/>
      </c>
      <c r="Y55" s="117">
        <f t="shared" ref="Y55" si="67">SUM(G55,I55,K55,M55,O55,Q55,S55,U55,W55)</f>
        <v>2</v>
      </c>
      <c r="Z55" s="116"/>
      <c r="AA55" s="118"/>
      <c r="AB55" s="116"/>
    </row>
    <row r="56" spans="1:28" x14ac:dyDescent="0.25">
      <c r="A56" s="134">
        <v>5000007385</v>
      </c>
      <c r="B56" s="112" t="str">
        <f>IFERROR(VLOOKUP(A56,LPU!$B$7:$H$1007,2,FALSE),"")</f>
        <v>MONT. SUPORTE METÁLICO PARA TC</v>
      </c>
      <c r="C56" s="113" t="str">
        <f>IFERROR(VLOOKUP(A56,LPU!$B$7:H1079,3,FALSE),"")</f>
        <v>UN</v>
      </c>
      <c r="D56" s="114">
        <v>1100.01</v>
      </c>
      <c r="E56" s="128">
        <v>1</v>
      </c>
      <c r="F56" s="115">
        <f t="shared" si="61"/>
        <v>1100.01</v>
      </c>
      <c r="G56" s="106"/>
      <c r="H56" s="116" t="str">
        <f t="shared" si="62"/>
        <v/>
      </c>
      <c r="I56" s="106"/>
      <c r="J56" s="116"/>
      <c r="K56" s="130"/>
      <c r="L56" s="116"/>
      <c r="M56" s="117"/>
      <c r="N56" s="116" t="str">
        <f t="shared" ref="N56" si="68">IF(M56&gt;0,M56*$D56,"")</f>
        <v/>
      </c>
      <c r="O56" s="117"/>
      <c r="P56" s="116"/>
      <c r="Q56" s="117"/>
      <c r="R56" s="116"/>
      <c r="S56" s="117"/>
      <c r="T56" s="116" t="str">
        <f t="shared" ref="T56" si="69">IF(S56&gt;0,S56*$D56,"")</f>
        <v/>
      </c>
      <c r="U56" s="117"/>
      <c r="V56" s="116" t="str">
        <f t="shared" ref="V56" si="70">IF(U56&gt;0,U56*$D56,"")</f>
        <v/>
      </c>
      <c r="W56" s="117"/>
      <c r="X56" s="116" t="str">
        <f t="shared" ref="X56" si="71">IF(W56&gt;0,W56*$D56,"")</f>
        <v/>
      </c>
      <c r="Y56" s="117">
        <f t="shared" ref="Y56" si="72">SUM(G56,I56,K56,M56,O56,Q56,S56,U56,W56)</f>
        <v>0</v>
      </c>
      <c r="Z56" s="116"/>
      <c r="AA56" s="118"/>
      <c r="AB56" s="116"/>
    </row>
    <row r="57" spans="1:28" x14ac:dyDescent="0.25">
      <c r="A57" s="134">
        <v>5000011536</v>
      </c>
      <c r="B57" s="112" t="str">
        <f>IFERROR(VLOOKUP(A57,LPU!$B$7:$H$1007,2,FALSE),"")</f>
        <v>INSTALAÇÃO DE PROTEÇÃO ANTI-FAUNA</v>
      </c>
      <c r="C57" s="113" t="str">
        <f>IFERROR(VLOOKUP(A57,LPU!$B$7:H1080,3,FALSE),"")</f>
        <v>UN</v>
      </c>
      <c r="D57" s="114">
        <v>444.86</v>
      </c>
      <c r="E57" s="128">
        <v>3</v>
      </c>
      <c r="F57" s="115">
        <f t="shared" si="61"/>
        <v>1334.58</v>
      </c>
      <c r="G57" s="106"/>
      <c r="H57" s="116" t="str">
        <f t="shared" si="62"/>
        <v/>
      </c>
      <c r="I57" s="106"/>
      <c r="J57" s="116"/>
      <c r="K57" s="130"/>
      <c r="L57" s="116"/>
      <c r="M57" s="117">
        <v>3</v>
      </c>
      <c r="N57" s="116">
        <f t="shared" ref="N57" si="73">IF(M57&gt;0,M57*$D57,"")</f>
        <v>1334.58</v>
      </c>
      <c r="O57" s="117"/>
      <c r="P57" s="116"/>
      <c r="Q57" s="117"/>
      <c r="R57" s="116"/>
      <c r="S57" s="117"/>
      <c r="T57" s="116" t="str">
        <f t="shared" ref="T57" si="74">IF(S57&gt;0,S57*$D57,"")</f>
        <v/>
      </c>
      <c r="U57" s="117"/>
      <c r="V57" s="116" t="str">
        <f t="shared" ref="V57" si="75">IF(U57&gt;0,U57*$D57,"")</f>
        <v/>
      </c>
      <c r="W57" s="117"/>
      <c r="X57" s="116" t="str">
        <f t="shared" ref="X57" si="76">IF(W57&gt;0,W57*$D57,"")</f>
        <v/>
      </c>
      <c r="Y57" s="117">
        <f t="shared" ref="Y57" si="77">SUM(G57,I57,K57,M57,O57,Q57,S57,U57,W57)</f>
        <v>3</v>
      </c>
      <c r="Z57" s="116"/>
      <c r="AA57" s="118"/>
      <c r="AB57" s="116"/>
    </row>
    <row r="58" spans="1:28" x14ac:dyDescent="0.25">
      <c r="A58" s="134">
        <v>3000016361</v>
      </c>
      <c r="B58" s="112" t="str">
        <f>IFERROR(VLOOKUP(A58,LPU!$B$7:$H$1007,2,FALSE),"")</f>
        <v>DMONT. DISJUNTOR TRIPOLAR 13,8 KV E 34,5KV</v>
      </c>
      <c r="C58" s="113" t="str">
        <f>IFERROR(VLOOKUP(A58,LPU!$B$7:H1081,3,FALSE),"")</f>
        <v>UN</v>
      </c>
      <c r="D58" s="114">
        <v>5361.45</v>
      </c>
      <c r="E58" s="128">
        <v>1</v>
      </c>
      <c r="F58" s="115">
        <f t="shared" si="61"/>
        <v>5361.45</v>
      </c>
      <c r="G58" s="106"/>
      <c r="H58" s="116" t="str">
        <f t="shared" si="62"/>
        <v/>
      </c>
      <c r="I58" s="106"/>
      <c r="J58" s="116"/>
      <c r="K58" s="130"/>
      <c r="L58" s="116"/>
      <c r="M58" s="117">
        <v>1</v>
      </c>
      <c r="N58" s="116">
        <f t="shared" ref="N58" si="78">IF(M58&gt;0,M58*$D58,"")</f>
        <v>5361.45</v>
      </c>
      <c r="O58" s="117"/>
      <c r="P58" s="116"/>
      <c r="Q58" s="117"/>
      <c r="R58" s="116"/>
      <c r="S58" s="117"/>
      <c r="T58" s="116" t="str">
        <f t="shared" ref="T58" si="79">IF(S58&gt;0,S58*$D58,"")</f>
        <v/>
      </c>
      <c r="U58" s="117"/>
      <c r="V58" s="116" t="str">
        <f t="shared" ref="V58" si="80">IF(U58&gt;0,U58*$D58,"")</f>
        <v/>
      </c>
      <c r="W58" s="117"/>
      <c r="X58" s="116" t="str">
        <f t="shared" ref="X58" si="81">IF(W58&gt;0,W58*$D58,"")</f>
        <v/>
      </c>
      <c r="Y58" s="117">
        <f t="shared" ref="Y58" si="82">SUM(G58,I58,K58,M58,O58,Q58,S58,U58,W58)</f>
        <v>1</v>
      </c>
      <c r="Z58" s="116"/>
      <c r="AA58" s="118"/>
      <c r="AB58" s="116"/>
    </row>
    <row r="59" spans="1:28" x14ac:dyDescent="0.25">
      <c r="A59" s="134">
        <v>3000016294</v>
      </c>
      <c r="B59" s="112" t="str">
        <f>IFERROR(VLOOKUP(A59,LPU!$B$7:$H$1007,2,FALSE),"")</f>
        <v>MONT. TRANSFORMADOR DE MEDIDAS 13,8 KV E 34,5KV</v>
      </c>
      <c r="C59" s="113" t="str">
        <f>IFERROR(VLOOKUP(A59,LPU!$B$7:H1082,3,FALSE),"")</f>
        <v>UN</v>
      </c>
      <c r="D59" s="114">
        <v>3077.84</v>
      </c>
      <c r="E59" s="128">
        <v>1</v>
      </c>
      <c r="F59" s="115">
        <f t="shared" si="61"/>
        <v>3077.84</v>
      </c>
      <c r="G59" s="106"/>
      <c r="H59" s="116" t="str">
        <f t="shared" si="62"/>
        <v/>
      </c>
      <c r="I59" s="106"/>
      <c r="J59" s="116"/>
      <c r="K59" s="130"/>
      <c r="L59" s="116"/>
      <c r="M59" s="117">
        <v>1</v>
      </c>
      <c r="N59" s="116">
        <f t="shared" ref="N59" si="83">IF(M59&gt;0,M59*$D59,"")</f>
        <v>3077.84</v>
      </c>
      <c r="O59" s="117"/>
      <c r="P59" s="116"/>
      <c r="Q59" s="117"/>
      <c r="R59" s="116"/>
      <c r="S59" s="117"/>
      <c r="T59" s="116" t="str">
        <f t="shared" ref="T59" si="84">IF(S59&gt;0,S59*$D59,"")</f>
        <v/>
      </c>
      <c r="U59" s="117"/>
      <c r="V59" s="116" t="str">
        <f t="shared" ref="V59" si="85">IF(U59&gt;0,U59*$D59,"")</f>
        <v/>
      </c>
      <c r="W59" s="117"/>
      <c r="X59" s="116" t="str">
        <f t="shared" ref="X59" si="86">IF(W59&gt;0,W59*$D59,"")</f>
        <v/>
      </c>
      <c r="Y59" s="117">
        <f t="shared" ref="Y59" si="87">SUM(G59,I59,K59,M59,O59,Q59,S59,U59,W59)</f>
        <v>1</v>
      </c>
      <c r="Z59" s="116"/>
      <c r="AA59" s="118"/>
      <c r="AB59" s="116"/>
    </row>
    <row r="60" spans="1:28" ht="24" customHeight="1" x14ac:dyDescent="0.25">
      <c r="A60" s="134">
        <v>3000016144</v>
      </c>
      <c r="B60" s="112" t="str">
        <f>IFERROR(VLOOKUP(A60,LPU!$B$7:$H$1007,2,FALSE),"")</f>
        <v>DEMOLIÇÃO DE CONCRETO ARMADO E BASES DE POSTES, TRAFO, ESTRUTURAS E SIMILARES, VIGA TRILHO</v>
      </c>
      <c r="C60" s="113" t="str">
        <f>IFERROR(VLOOKUP(A60,LPU!$B$7:H1078,3,FALSE),"")</f>
        <v>M3</v>
      </c>
      <c r="D60" s="114">
        <v>932.97</v>
      </c>
      <c r="E60" s="128">
        <v>1</v>
      </c>
      <c r="F60" s="115">
        <f t="shared" ref="F60" si="88">IFERROR(E60*D60,"")</f>
        <v>932.97</v>
      </c>
      <c r="G60" s="106"/>
      <c r="H60" s="116" t="str">
        <f t="shared" si="33"/>
        <v/>
      </c>
      <c r="I60" s="106"/>
      <c r="J60" s="116"/>
      <c r="K60" s="130"/>
      <c r="L60" s="116"/>
      <c r="M60" s="117">
        <v>1</v>
      </c>
      <c r="N60" s="116">
        <f t="shared" si="3"/>
        <v>932.97</v>
      </c>
      <c r="O60" s="117"/>
      <c r="P60" s="116"/>
      <c r="Q60" s="117"/>
      <c r="R60" s="116"/>
      <c r="S60" s="117"/>
      <c r="T60" s="116" t="str">
        <f t="shared" ref="T60" si="89">IF(S60&gt;0,S60*$D60,"")</f>
        <v/>
      </c>
      <c r="U60" s="117"/>
      <c r="V60" s="116" t="str">
        <f t="shared" ref="V60" si="90">IF(U60&gt;0,U60*$D60,"")</f>
        <v/>
      </c>
      <c r="W60" s="117"/>
      <c r="X60" s="116" t="str">
        <f t="shared" ref="X60" si="91">IF(W60&gt;0,W60*$D60,"")</f>
        <v/>
      </c>
      <c r="Y60" s="117">
        <f t="shared" ref="Y60" si="92">SUM(G60,I60,K60,M60,O60,Q60,S60,U60,W60)</f>
        <v>1</v>
      </c>
      <c r="Z60" s="116"/>
      <c r="AA60" s="118"/>
      <c r="AB60" s="116"/>
    </row>
  </sheetData>
  <autoFilter ref="A4:AC50" xr:uid="{00000000-0001-0000-0100-000000000000}"/>
  <mergeCells count="24">
    <mergeCell ref="I1:J1"/>
    <mergeCell ref="K1:L1"/>
    <mergeCell ref="AA2:AB2"/>
    <mergeCell ref="W1:X1"/>
    <mergeCell ref="Q2:R2"/>
    <mergeCell ref="S2:T2"/>
    <mergeCell ref="U2:V2"/>
    <mergeCell ref="W2:X2"/>
    <mergeCell ref="A2:E2"/>
    <mergeCell ref="Y1:Z1"/>
    <mergeCell ref="Y2:Z2"/>
    <mergeCell ref="AA1:AB1"/>
    <mergeCell ref="Q1:R1"/>
    <mergeCell ref="S1:T1"/>
    <mergeCell ref="U1:V1"/>
    <mergeCell ref="M1:N1"/>
    <mergeCell ref="O1:P1"/>
    <mergeCell ref="O2:P2"/>
    <mergeCell ref="G2:H2"/>
    <mergeCell ref="I2:J2"/>
    <mergeCell ref="K2:L2"/>
    <mergeCell ref="M2:N2"/>
    <mergeCell ref="B1:F1"/>
    <mergeCell ref="G1:H1"/>
  </mergeCells>
  <conditionalFormatting sqref="A42">
    <cfRule type="duplicateValues" dxfId="12" priority="13"/>
  </conditionalFormatting>
  <conditionalFormatting sqref="A47">
    <cfRule type="duplicateValues" dxfId="11" priority="12"/>
  </conditionalFormatting>
  <conditionalFormatting sqref="A48">
    <cfRule type="duplicateValues" dxfId="10" priority="11"/>
  </conditionalFormatting>
  <conditionalFormatting sqref="A49">
    <cfRule type="duplicateValues" dxfId="9" priority="10"/>
  </conditionalFormatting>
  <conditionalFormatting sqref="A50">
    <cfRule type="duplicateValues" dxfId="8" priority="9"/>
  </conditionalFormatting>
  <conditionalFormatting sqref="A51">
    <cfRule type="duplicateValues" dxfId="7" priority="8"/>
  </conditionalFormatting>
  <conditionalFormatting sqref="A52">
    <cfRule type="duplicateValues" dxfId="6" priority="7"/>
  </conditionalFormatting>
  <conditionalFormatting sqref="A53">
    <cfRule type="duplicateValues" dxfId="5" priority="6"/>
  </conditionalFormatting>
  <conditionalFormatting sqref="A54">
    <cfRule type="duplicateValues" dxfId="4" priority="5"/>
  </conditionalFormatting>
  <conditionalFormatting sqref="A55">
    <cfRule type="duplicateValues" dxfId="3" priority="4"/>
  </conditionalFormatting>
  <conditionalFormatting sqref="A56">
    <cfRule type="duplicateValues" dxfId="2" priority="3"/>
  </conditionalFormatting>
  <conditionalFormatting sqref="A58">
    <cfRule type="duplicateValues" dxfId="1" priority="2"/>
  </conditionalFormatting>
  <conditionalFormatting sqref="A59">
    <cfRule type="duplicateValues" dxfId="0" priority="1"/>
  </conditionalFormatting>
  <pageMargins left="0.51181102362204722" right="0.51181102362204722" top="0.78740157480314965" bottom="0.78740157480314965" header="0.31496062992125984" footer="0.31496062992125984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MEDIÇÕES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ENERGY</cp:lastModifiedBy>
  <cp:lastPrinted>2026-05-05T17:13:38Z</cp:lastPrinted>
  <dcterms:created xsi:type="dcterms:W3CDTF">2025-04-28T17:08:18Z</dcterms:created>
  <dcterms:modified xsi:type="dcterms:W3CDTF">2026-06-11T13:11:37Z</dcterms:modified>
</cp:coreProperties>
</file>